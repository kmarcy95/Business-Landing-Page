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Example" sheetId="6" state="visible" r:id="rId6"/>
  </sheets>
  <definedNames>
    <definedName name="Product_List">'Inputs'!$B$6:$B$10</definedName>
    <definedName name="Std_Price_Unit">'Inputs'!$C$6:$C$10</definedName>
    <definedName name="Std_Qty">'Inputs'!$D$6:$D$10</definedName>
    <definedName name="Std_Labor_Rate">'Inputs'!$E$6:$E$10</definedName>
    <definedName name="Std_Labor_Hours">'Inputs'!$F$6:$F$10</definedName>
    <definedName name="Std_Var_OH_Rate_Hr">'Inputs'!$G$6:$G$10</definedName>
    <definedName name="Budgeted_Fixed_OH">'Inputs'!$H$6:$H$10</definedName>
    <definedName name="Std_Fixed_OH_Rate_Hr">'Inputs'!$I$6:$I$10</definedName>
    <definedName name="Budgeted_Selling_Price">'Inputs'!$J$6:$J$10</definedName>
    <definedName name="Budgeted_Units">'Inputs'!$K$6:$K$10</definedName>
    <definedName name="MI_Product">'Inputs'!$B$15:$B$21</definedName>
    <definedName name="MI_Material">'Inputs'!$C$15:$C$21</definedName>
    <definedName name="MI_Std_Price">'Inputs'!$D$15:$D$21</definedName>
    <definedName name="MI_Std_Qty">'Inputs'!$E$15:$E$21</definedName>
    <definedName name="MI_Actual_Price">'Inputs'!$F$15:$F$21</definedName>
    <definedName name="MI_Actual_Qty">'Inputs'!$G$15:$G$21</definedName>
    <definedName name="Actual_Product">'Actuals'!$B$6:$B$10</definedName>
    <definedName name="Actual_Price">'Actuals'!$C$6:$C$10</definedName>
    <definedName name="Actual_Qty">'Actuals'!$D$6:$D$10</definedName>
    <definedName name="Actual_Labor_Rate">'Actuals'!$E$6:$E$10</definedName>
    <definedName name="Actual_Labor_Hours">'Actuals'!$F$6:$F$10</definedName>
    <definedName name="Actual_Var_OH">'Actuals'!$G$6:$G$10</definedName>
    <definedName name="Actual_Fixed_OH">'Actuals'!$H$6:$H$10</definedName>
    <definedName name="Actual_Selling_Price">'Actuals'!$I$6:$I$10</definedName>
    <definedName name="Actual_Units">'Actuals'!$J$6:$J$10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$#,##0;[Red]($#,##0);-"/>
    <numFmt numFmtId="166" formatCode="0.0%;[Red](0.0%);-"/>
  </numFmts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  <font>
      <b val="1"/>
      <color rgb="001F4E78"/>
    </font>
    <font>
      <b val="1"/>
    </font>
    <font>
      <i val="1"/>
      <color rgb="00666666"/>
      <sz val="10"/>
    </font>
    <font>
      <b val="1"/>
      <color rgb="00FFFFFF"/>
      <sz val="10"/>
    </font>
    <font>
      <name val="Calibri"/>
      <family val="2"/>
      <color theme="1"/>
      <sz val="10"/>
      <scheme val="minor"/>
    </font>
    <font>
      <b val="1"/>
      <color rgb="001F4E78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8" fillId="3" borderId="1" applyAlignment="1" applyProtection="1" pivotButton="0" quotePrefix="0" xfId="0">
      <alignment vertical="center" wrapText="1"/>
      <protection locked="0" hidden="0"/>
    </xf>
    <xf numFmtId="164" fontId="8" fillId="3" borderId="1" applyAlignment="1" applyProtection="1" pivotButton="0" quotePrefix="0" xfId="0">
      <alignment vertical="center" wrapText="1"/>
      <protection locked="0" hidden="0"/>
    </xf>
    <xf numFmtId="0" fontId="0" fillId="3" borderId="1" applyAlignment="1" applyProtection="1" pivotButton="0" quotePrefix="0" xfId="0">
      <alignment vertical="center" wrapText="1"/>
      <protection locked="0" hidden="0"/>
    </xf>
    <xf numFmtId="164" fontId="0" fillId="3" borderId="1" applyAlignment="1" applyProtection="1" pivotButton="0" quotePrefix="0" xfId="0">
      <alignment vertical="center" wrapText="1"/>
      <protection locked="0" hidden="0"/>
    </xf>
    <xf numFmtId="0" fontId="8" fillId="4" borderId="1" applyAlignment="1" pivotButton="0" quotePrefix="0" xfId="0">
      <alignment vertical="center" wrapText="1"/>
    </xf>
    <xf numFmtId="165" fontId="8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6" fontId="8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165" fontId="10" fillId="5" borderId="1" applyAlignment="1" pivotButton="0" quotePrefix="0" xfId="0">
      <alignment vertical="center" wrapText="1"/>
    </xf>
    <xf numFmtId="0" fontId="5" fillId="5" borderId="1" pivotButton="0" quotePrefix="0" xfId="0"/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Budgeted to Actual OP Bridge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'Dashboard'!$B$5:$B$10</f>
            </numRef>
          </cat>
          <val>
            <numRef>
              <f>'Dashboard'!$C$5:$C$10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ducts" displayName="tblProducts" ref="B5:K10" headerRowCount="1">
  <autoFilter ref="B5:K10"/>
  <tableColumns count="10">
    <tableColumn id="2" name="Product"/>
    <tableColumn id="3" name="Std price/unit"/>
    <tableColumn id="4" name="Std qty"/>
    <tableColumn id="5" name="Std labor rate"/>
    <tableColumn id="6" name="Std labor hours"/>
    <tableColumn id="7" name="Std var OH rate/hr"/>
    <tableColumn id="8" name="Budgeted fixed OH"/>
    <tableColumn id="9" name="Std fixed OH rate/hr"/>
    <tableColumn id="10" name="Budgeted selling price"/>
    <tableColumn id="11" name="Budgeted unit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MaterialInputs" displayName="tblMaterialInputs" ref="B14:G21" headerRowCount="1">
  <autoFilter ref="B14:G21"/>
  <tableColumns count="6">
    <tableColumn id="2" name="Product"/>
    <tableColumn id="3" name="Material"/>
    <tableColumn id="4" name="Std price"/>
    <tableColumn id="5" name="Std qty"/>
    <tableColumn id="6" name="Actual price"/>
    <tableColumn id="7" name="Actual qty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uals" displayName="tblActuals" ref="B5:J10" headerRowCount="1">
  <autoFilter ref="B5:J10"/>
  <tableColumns count="9">
    <tableColumn id="2" name="Product"/>
    <tableColumn id="3" name="Actual price"/>
    <tableColumn id="4" name="Actual qty"/>
    <tableColumn id="5" name="Actual labor rate"/>
    <tableColumn id="6" name="Actual labor hours"/>
    <tableColumn id="7" name="Actual var OH"/>
    <tableColumn id="8" name="Actual fixed OH"/>
    <tableColumn id="9" name="Actual selling price"/>
    <tableColumn id="10" name="Actual unit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lc" displayName="tblCalc" ref="B5:T11" headerRowCount="1">
  <autoFilter ref="B5:T11"/>
  <tableColumns count="19">
    <tableColumn id="2" name="Product"/>
    <tableColumn id="3" name="Std Mat Cost"/>
    <tableColumn id="4" name="Act Mat Cost"/>
    <tableColumn id="5" name="Material Price"/>
    <tableColumn id="6" name="Material Quantity"/>
    <tableColumn id="7" name="Material Mix"/>
    <tableColumn id="8" name="Material Yield"/>
    <tableColumn id="9" name="Labor Rate"/>
    <tableColumn id="10" name="Labor Efficiency"/>
    <tableColumn id="11" name="Labor Mix"/>
    <tableColumn id="12" name="Var OH Spending"/>
    <tableColumn id="13" name="Var OH Efficiency"/>
    <tableColumn id="14" name="Fixed OH Budget"/>
    <tableColumn id="15" name="Fixed OH Volume"/>
    <tableColumn id="16" name="Sales Price"/>
    <tableColumn id="17" name="Sales Volume"/>
    <tableColumn id="18" name="Sales Mix"/>
    <tableColumn id="19" name="Total Cost Variance"/>
    <tableColumn id="20" name="Sales Varianc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ExampleInputs" displayName="tblExampleInputs" ref="B5:O7" headerRowCount="1">
  <autoFilter ref="B5:O7"/>
  <tableColumns count="14">
    <tableColumn id="2" name="Product"/>
    <tableColumn id="3" name="Std price"/>
    <tableColumn id="4" name="Std qty"/>
    <tableColumn id="5" name="Actual price"/>
    <tableColumn id="6" name="Actual qty"/>
    <tableColumn id="7" name="Std labor rate"/>
    <tableColumn id="8" name="Std labor hours"/>
    <tableColumn id="9" name="Actual labor rate"/>
    <tableColumn id="10" name="Actual labor hours"/>
    <tableColumn id="11" name="Std var OH rate"/>
    <tableColumn id="12" name="Actual var OH"/>
    <tableColumn id="13" name="Budgeted fixed OH"/>
    <tableColumn id="14" name="Std fixed OH rate"/>
    <tableColumn id="15" name="Actual fixed OH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10" customWidth="1" min="3" max="3"/>
  </cols>
  <sheetData>
    <row r="1"/>
    <row r="2">
      <c r="B2" s="1" t="inlineStr">
        <is>
          <t>KM Consulting — Standard Costing Variance Model</t>
        </is>
      </c>
    </row>
    <row r="3">
      <c r="B3" s="2" t="inlineStr">
        <is>
          <t>Version v1.0 | Formula-only workbook | Excel 2016+</t>
        </is>
      </c>
    </row>
    <row r="4">
      <c r="B4" s="3" t="inlineStr">
        <is>
          <t>Topic</t>
        </is>
      </c>
      <c r="C4" s="3" t="inlineStr">
        <is>
          <t>Detail</t>
        </is>
      </c>
    </row>
    <row r="5">
      <c r="B5" s="4" t="inlineStr">
        <is>
          <t>Purpose</t>
        </is>
      </c>
      <c r="C5" s="4" t="inlineStr">
        <is>
          <t>Calculate standard-costing variances, sales variances, overhead variances, and an operating-profit bridge.</t>
        </is>
      </c>
    </row>
    <row r="6">
      <c r="B6" s="5" t="inlineStr">
        <is>
          <t>How to use</t>
        </is>
      </c>
      <c r="C6" s="5" t="inlineStr">
        <is>
          <t>Enter assumptions on Inputs and actual results on Actuals. Calc and Dashboard are formula-driven and protected.</t>
        </is>
      </c>
    </row>
    <row r="7">
      <c r="B7" s="5" t="inlineStr">
        <is>
          <t>Sign convention</t>
        </is>
      </c>
      <c r="C7" s="5" t="inlineStr">
        <is>
          <t>Positive variance = Unfavorable = actual cost above standard or sales below budget; negative = Favorable.</t>
        </is>
      </c>
    </row>
    <row r="8">
      <c r="B8" s="5" t="inlineStr">
        <is>
          <t>Assumptions</t>
        </is>
      </c>
      <c r="C8" s="5" t="inlineStr">
        <is>
          <t>Fixed OH absorption costing. Overhead activity base = labor hours. Material mix/yield supports multiple materials per product.</t>
        </is>
      </c>
    </row>
    <row r="9">
      <c r="B9" s="5" t="inlineStr">
        <is>
          <t>Version</t>
        </is>
      </c>
      <c r="C9" s="5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3" customWidth="1" min="4" max="4"/>
    <col width="13" customWidth="1" min="5" max="5"/>
    <col width="15" customWidth="1" min="6" max="6"/>
    <col width="15" customWidth="1" min="7" max="7"/>
    <col width="18" customWidth="1" min="8" max="8"/>
    <col width="18" customWidth="1" min="9" max="9"/>
    <col width="20" customWidth="1" min="10" max="10"/>
    <col width="15" customWidth="1" min="11" max="11"/>
  </cols>
  <sheetData>
    <row r="1"/>
    <row r="2">
      <c r="B2" s="1" t="inlineStr">
        <is>
          <t>Inputs</t>
        </is>
      </c>
    </row>
    <row r="3">
      <c r="B3" s="2" t="inlineStr">
        <is>
          <t>Blue cells are editable. Named ranges are applied to table columns.</t>
        </is>
      </c>
    </row>
    <row r="4">
      <c r="B4" s="6" t="inlineStr">
        <is>
          <t>Products</t>
        </is>
      </c>
    </row>
    <row r="5">
      <c r="B5" s="7" t="inlineStr">
        <is>
          <t>Product</t>
        </is>
      </c>
      <c r="C5" s="7" t="inlineStr">
        <is>
          <t>Std price/unit</t>
        </is>
      </c>
      <c r="D5" s="7" t="inlineStr">
        <is>
          <t>Std qty</t>
        </is>
      </c>
      <c r="E5" s="7" t="inlineStr">
        <is>
          <t>Std labor rate</t>
        </is>
      </c>
      <c r="F5" s="7" t="inlineStr">
        <is>
          <t>Std labor hours</t>
        </is>
      </c>
      <c r="G5" s="7" t="inlineStr">
        <is>
          <t>Std var OH rate/hr</t>
        </is>
      </c>
      <c r="H5" s="7" t="inlineStr">
        <is>
          <t>Budgeted fixed OH</t>
        </is>
      </c>
      <c r="I5" s="7" t="inlineStr">
        <is>
          <t>Std fixed OH rate/hr</t>
        </is>
      </c>
      <c r="J5" s="7" t="inlineStr">
        <is>
          <t>Budgeted selling price</t>
        </is>
      </c>
      <c r="K5" s="7" t="inlineStr">
        <is>
          <t>Budgeted units</t>
        </is>
      </c>
    </row>
    <row r="6">
      <c r="B6" s="8" t="inlineStr">
        <is>
          <t>Product A</t>
        </is>
      </c>
      <c r="C6" s="9" t="n">
        <v>5</v>
      </c>
      <c r="D6" s="9" t="n">
        <v>3000</v>
      </c>
      <c r="E6" s="9" t="n">
        <v>20</v>
      </c>
      <c r="F6" s="9" t="n">
        <v>2000</v>
      </c>
      <c r="G6" s="9" t="n">
        <v>4</v>
      </c>
      <c r="H6" s="9" t="n">
        <v>11000</v>
      </c>
      <c r="I6" s="9" t="n">
        <v>5</v>
      </c>
      <c r="J6" s="9" t="n">
        <v>35</v>
      </c>
      <c r="K6" s="9" t="n">
        <v>100</v>
      </c>
    </row>
    <row r="7">
      <c r="B7" s="8" t="inlineStr">
        <is>
          <t>Product B</t>
        </is>
      </c>
      <c r="C7" s="9" t="n">
        <v>8</v>
      </c>
      <c r="D7" s="9" t="n">
        <v>1000</v>
      </c>
      <c r="E7" s="9" t="n">
        <v>25</v>
      </c>
      <c r="F7" s="9" t="n">
        <v>750</v>
      </c>
      <c r="G7" s="9" t="n">
        <v>6</v>
      </c>
      <c r="H7" s="9" t="n">
        <v>6000</v>
      </c>
      <c r="I7" s="9" t="n">
        <v>8</v>
      </c>
      <c r="J7" s="9" t="n">
        <v>50</v>
      </c>
      <c r="K7" s="9" t="n">
        <v>80</v>
      </c>
    </row>
    <row r="8">
      <c r="B8" s="8" t="inlineStr">
        <is>
          <t>Product C</t>
        </is>
      </c>
      <c r="C8" s="9" t="n">
        <v>6.5</v>
      </c>
      <c r="D8" s="9" t="n">
        <v>0</v>
      </c>
      <c r="E8" s="9" t="n">
        <v>22</v>
      </c>
      <c r="F8" s="9" t="n">
        <v>0</v>
      </c>
      <c r="G8" s="9" t="n">
        <v>5</v>
      </c>
      <c r="H8" s="9" t="n">
        <v>0</v>
      </c>
      <c r="I8" s="9" t="n">
        <v>6</v>
      </c>
      <c r="J8" s="9" t="n">
        <v>40</v>
      </c>
      <c r="K8" s="9" t="n">
        <v>0</v>
      </c>
    </row>
    <row r="9">
      <c r="B9" s="8" t="inlineStr">
        <is>
          <t>Product D</t>
        </is>
      </c>
      <c r="C9" s="9" t="n">
        <v>9</v>
      </c>
      <c r="D9" s="9" t="n">
        <v>0</v>
      </c>
      <c r="E9" s="9" t="n">
        <v>24</v>
      </c>
      <c r="F9" s="9" t="n">
        <v>0</v>
      </c>
      <c r="G9" s="9" t="n">
        <v>6</v>
      </c>
      <c r="H9" s="9" t="n">
        <v>0</v>
      </c>
      <c r="I9" s="9" t="n">
        <v>7</v>
      </c>
      <c r="J9" s="9" t="n">
        <v>55</v>
      </c>
      <c r="K9" s="9" t="n">
        <v>0</v>
      </c>
    </row>
    <row r="10">
      <c r="B10" s="8" t="inlineStr">
        <is>
          <t>Product E</t>
        </is>
      </c>
      <c r="C10" s="9" t="n">
        <v>4.25</v>
      </c>
      <c r="D10" s="9" t="n">
        <v>0</v>
      </c>
      <c r="E10" s="9" t="n">
        <v>18</v>
      </c>
      <c r="F10" s="9" t="n">
        <v>0</v>
      </c>
      <c r="G10" s="9" t="n">
        <v>3</v>
      </c>
      <c r="H10" s="9" t="n">
        <v>0</v>
      </c>
      <c r="I10" s="9" t="n">
        <v>4</v>
      </c>
      <c r="J10" s="9" t="n">
        <v>30</v>
      </c>
      <c r="K10" s="9" t="n">
        <v>0</v>
      </c>
    </row>
    <row r="11"/>
    <row r="12"/>
    <row r="13">
      <c r="B13" s="6" t="inlineStr">
        <is>
          <t>Material Inputs</t>
        </is>
      </c>
    </row>
    <row r="14">
      <c r="B14" s="7" t="inlineStr">
        <is>
          <t>Product</t>
        </is>
      </c>
      <c r="C14" s="7" t="inlineStr">
        <is>
          <t>Material</t>
        </is>
      </c>
      <c r="D14" s="7" t="inlineStr">
        <is>
          <t>Std price</t>
        </is>
      </c>
      <c r="E14" s="7" t="inlineStr">
        <is>
          <t>Std qty</t>
        </is>
      </c>
      <c r="F14" s="7" t="inlineStr">
        <is>
          <t>Actual price</t>
        </is>
      </c>
      <c r="G14" s="7" t="inlineStr">
        <is>
          <t>Actual qty</t>
        </is>
      </c>
    </row>
    <row r="15">
      <c r="B15" s="10" t="inlineStr">
        <is>
          <t>Product A</t>
        </is>
      </c>
      <c r="C15" s="10" t="inlineStr">
        <is>
          <t>Material 1</t>
        </is>
      </c>
      <c r="D15" s="11" t="n">
        <v>5</v>
      </c>
      <c r="E15" s="11" t="n">
        <v>3000</v>
      </c>
      <c r="F15" s="11" t="n">
        <v>5.2</v>
      </c>
      <c r="G15" s="11" t="n">
        <v>3200</v>
      </c>
    </row>
    <row r="16">
      <c r="B16" s="8" t="inlineStr">
        <is>
          <t>Product B</t>
        </is>
      </c>
      <c r="C16" s="8" t="inlineStr">
        <is>
          <t>Material 1</t>
        </is>
      </c>
      <c r="D16" s="9" t="n">
        <v>8</v>
      </c>
      <c r="E16" s="9" t="n">
        <v>1000</v>
      </c>
      <c r="F16" s="9" t="n">
        <v>7.8</v>
      </c>
      <c r="G16" s="9" t="n">
        <v>1050</v>
      </c>
    </row>
    <row r="17">
      <c r="B17" s="8" t="inlineStr">
        <is>
          <t>Product A</t>
        </is>
      </c>
      <c r="C17" s="8" t="inlineStr">
        <is>
          <t>Material 2</t>
        </is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B18" s="8" t="inlineStr">
        <is>
          <t>Product B</t>
        </is>
      </c>
      <c r="C18" s="8" t="inlineStr">
        <is>
          <t>Material 2</t>
        </is>
      </c>
      <c r="D18" s="9" t="n">
        <v>0</v>
      </c>
      <c r="E18" s="9" t="n">
        <v>0</v>
      </c>
      <c r="F18" s="9" t="n">
        <v>0</v>
      </c>
      <c r="G18" s="9" t="n">
        <v>0</v>
      </c>
    </row>
    <row r="19">
      <c r="B19" s="8" t="inlineStr">
        <is>
          <t>Product C</t>
        </is>
      </c>
      <c r="C19" s="8" t="inlineStr">
        <is>
          <t>Material 1</t>
        </is>
      </c>
      <c r="D19" s="9" t="n">
        <v>0</v>
      </c>
      <c r="E19" s="9" t="n">
        <v>0</v>
      </c>
      <c r="F19" s="9" t="n">
        <v>0</v>
      </c>
      <c r="G19" s="9" t="n">
        <v>0</v>
      </c>
    </row>
    <row r="20">
      <c r="B20" s="8" t="inlineStr">
        <is>
          <t>Product D</t>
        </is>
      </c>
      <c r="C20" s="8" t="inlineStr">
        <is>
          <t>Material 1</t>
        </is>
      </c>
      <c r="D20" s="9" t="n">
        <v>0</v>
      </c>
      <c r="E20" s="9" t="n">
        <v>0</v>
      </c>
      <c r="F20" s="9" t="n">
        <v>0</v>
      </c>
      <c r="G20" s="9" t="n">
        <v>0</v>
      </c>
    </row>
    <row r="21">
      <c r="B21" s="8" t="inlineStr">
        <is>
          <t>Product E</t>
        </is>
      </c>
      <c r="C21" s="8" t="inlineStr">
        <is>
          <t>Material 1</t>
        </is>
      </c>
      <c r="D21" s="9" t="n">
        <v>0</v>
      </c>
      <c r="E21" s="9" t="n">
        <v>0</v>
      </c>
      <c r="F21" s="9" t="n">
        <v>0</v>
      </c>
      <c r="G21" s="9" t="n">
        <v>0</v>
      </c>
    </row>
  </sheetData>
  <dataValidations count="2">
    <dataValidation sqref="B15:B21" showDropDown="0" showInputMessage="0" showErrorMessage="0" allowBlank="0" error="Choose a product from Inputs." type="list">
      <formula1>=Product_List</formula1>
    </dataValidation>
    <dataValidation sqref="C6:K10 D15:G21" showDropDown="0" showInputMessage="0" showErrorMessage="0" allowBlank="1" error="Enter zero or a positive number." type="decimal" operator="greaterThanOrEqual">
      <formula1>0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  <col width="20" customWidth="1" min="9" max="9"/>
    <col width="14" customWidth="1" min="10" max="10"/>
  </cols>
  <sheetData>
    <row r="1"/>
    <row r="2">
      <c r="B2" s="1" t="inlineStr">
        <is>
          <t>Actuals</t>
        </is>
      </c>
    </row>
    <row r="3">
      <c r="B3" s="2" t="inlineStr">
        <is>
          <t>Enter actual cost and sales data by product.</t>
        </is>
      </c>
    </row>
    <row r="4"/>
    <row r="5">
      <c r="B5" s="7" t="inlineStr">
        <is>
          <t>Product</t>
        </is>
      </c>
      <c r="C5" s="7" t="inlineStr">
        <is>
          <t>Actual price</t>
        </is>
      </c>
      <c r="D5" s="7" t="inlineStr">
        <is>
          <t>Actual qty</t>
        </is>
      </c>
      <c r="E5" s="7" t="inlineStr">
        <is>
          <t>Actual labor rate</t>
        </is>
      </c>
      <c r="F5" s="7" t="inlineStr">
        <is>
          <t>Actual labor hours</t>
        </is>
      </c>
      <c r="G5" s="7" t="inlineStr">
        <is>
          <t>Actual var OH</t>
        </is>
      </c>
      <c r="H5" s="7" t="inlineStr">
        <is>
          <t>Actual fixed OH</t>
        </is>
      </c>
      <c r="I5" s="7" t="inlineStr">
        <is>
          <t>Actual selling price</t>
        </is>
      </c>
      <c r="J5" s="7" t="inlineStr">
        <is>
          <t>Actual units</t>
        </is>
      </c>
    </row>
    <row r="6">
      <c r="B6" s="8" t="inlineStr">
        <is>
          <t>Product A</t>
        </is>
      </c>
      <c r="C6" s="9" t="n">
        <v>5.2</v>
      </c>
      <c r="D6" s="9" t="n">
        <v>3200</v>
      </c>
      <c r="E6" s="9" t="n">
        <v>19.5</v>
      </c>
      <c r="F6" s="9" t="n">
        <v>2100</v>
      </c>
      <c r="G6" s="9" t="n">
        <v>8600</v>
      </c>
      <c r="H6" s="9" t="n">
        <v>11300</v>
      </c>
      <c r="I6" s="9" t="n">
        <v>36</v>
      </c>
      <c r="J6" s="9" t="n">
        <v>105</v>
      </c>
    </row>
    <row r="7">
      <c r="B7" s="8" t="inlineStr">
        <is>
          <t>Product B</t>
        </is>
      </c>
      <c r="C7" s="9" t="n">
        <v>7.8</v>
      </c>
      <c r="D7" s="9" t="n">
        <v>1050</v>
      </c>
      <c r="E7" s="9" t="n">
        <v>25.4</v>
      </c>
      <c r="F7" s="9" t="n">
        <v>720</v>
      </c>
      <c r="G7" s="9" t="n">
        <v>4700</v>
      </c>
      <c r="H7" s="9" t="n">
        <v>5900</v>
      </c>
      <c r="I7" s="9" t="n">
        <v>48</v>
      </c>
      <c r="J7" s="9" t="n">
        <v>78</v>
      </c>
    </row>
    <row r="8">
      <c r="B8" s="8" t="inlineStr">
        <is>
          <t>Product C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</row>
    <row r="9">
      <c r="B9" s="8" t="inlineStr">
        <is>
          <t>Product D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</row>
    <row r="10">
      <c r="B10" s="8" t="inlineStr">
        <is>
          <t>Product E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</row>
  </sheetData>
  <dataValidations count="2">
    <dataValidation sqref="B6:B10" showDropDown="0" showInputMessage="0" showErrorMessage="0" allowBlank="0" error="Choose a product from Inputs." type="list">
      <formula1>=Product_List</formula1>
    </dataValidation>
    <dataValidation sqref="C6:J10" showDropDown="0" showInputMessage="0" showErrorMessage="0" allowBlank="1" error="Enter zero or a positive number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/>
    <row r="2">
      <c r="B2" s="1" t="inlineStr">
        <is>
          <t>Variance Calculations</t>
        </is>
      </c>
    </row>
    <row r="3">
      <c r="B3" s="2" t="inlineStr">
        <is>
          <t>Positive = Unfavorable; Negative = Favorable</t>
        </is>
      </c>
    </row>
    <row r="4"/>
    <row r="5">
      <c r="B5" s="7" t="inlineStr">
        <is>
          <t>Product</t>
        </is>
      </c>
      <c r="C5" s="7" t="inlineStr">
        <is>
          <t>Std Mat Cost</t>
        </is>
      </c>
      <c r="D5" s="7" t="inlineStr">
        <is>
          <t>Act Mat Cost</t>
        </is>
      </c>
      <c r="E5" s="7" t="inlineStr">
        <is>
          <t>Material Price</t>
        </is>
      </c>
      <c r="F5" s="7" t="inlineStr">
        <is>
          <t>Material Quantity</t>
        </is>
      </c>
      <c r="G5" s="7" t="inlineStr">
        <is>
          <t>Material Mix</t>
        </is>
      </c>
      <c r="H5" s="7" t="inlineStr">
        <is>
          <t>Material Yield</t>
        </is>
      </c>
      <c r="I5" s="7" t="inlineStr">
        <is>
          <t>Labor Rate</t>
        </is>
      </c>
      <c r="J5" s="7" t="inlineStr">
        <is>
          <t>Labor Efficiency</t>
        </is>
      </c>
      <c r="K5" s="7" t="inlineStr">
        <is>
          <t>Labor Mix</t>
        </is>
      </c>
      <c r="L5" s="7" t="inlineStr">
        <is>
          <t>Var OH Spending</t>
        </is>
      </c>
      <c r="M5" s="7" t="inlineStr">
        <is>
          <t>Var OH Efficiency</t>
        </is>
      </c>
      <c r="N5" s="7" t="inlineStr">
        <is>
          <t>Fixed OH Budget</t>
        </is>
      </c>
      <c r="O5" s="7" t="inlineStr">
        <is>
          <t>Fixed OH Volume</t>
        </is>
      </c>
      <c r="P5" s="7" t="inlineStr">
        <is>
          <t>Sales Price</t>
        </is>
      </c>
      <c r="Q5" s="7" t="inlineStr">
        <is>
          <t>Sales Volume</t>
        </is>
      </c>
      <c r="R5" s="7" t="inlineStr">
        <is>
          <t>Sales Mix</t>
        </is>
      </c>
      <c r="S5" s="7" t="inlineStr">
        <is>
          <t>Total Cost Variance</t>
        </is>
      </c>
      <c r="T5" s="7" t="inlineStr">
        <is>
          <t>Sales Variance</t>
        </is>
      </c>
    </row>
    <row r="6">
      <c r="B6" s="12">
        <f>Inputs!B6</f>
        <v/>
      </c>
      <c r="C6" s="13">
        <f>Inputs!C6*Inputs!D6</f>
        <v/>
      </c>
      <c r="D6" s="13">
        <f>Actuals!C6*Actuals!D6</f>
        <v/>
      </c>
      <c r="E6" s="13">
        <f>SUMPRODUCT((MI_Product=B6)*(MI_Actual_Price-MI_Std_Price)*MI_Actual_Qty)</f>
        <v/>
      </c>
      <c r="F6" s="13">
        <f>SUMPRODUCT((MI_Product=B6)*(MI_Actual_Qty-MI_Std_Qty)*MI_Std_Price)</f>
        <v/>
      </c>
      <c r="G6" s="13">
        <f>IFERROR(SUMPRODUCT((MI_Product=B6)*(MI_Actual_Qty-SUMIF(MI_Product,B6,MI_Actual_Qty)*MI_Std_Qty/SUMIF(MI_Product,B6,MI_Std_Qty))*MI_Std_Price),0)</f>
        <v/>
      </c>
      <c r="H6" s="13">
        <f>F6-G6</f>
        <v/>
      </c>
      <c r="I6" s="13">
        <f>(Actuals!E6-Inputs!E6)*Actuals!F6</f>
        <v/>
      </c>
      <c r="J6" s="13">
        <f>(Actuals!F6-Inputs!F6)*Inputs!E6</f>
        <v/>
      </c>
      <c r="K6" s="13">
        <f>0</f>
        <v/>
      </c>
      <c r="L6" s="13">
        <f>Actuals!G6-Inputs!G6*Actuals!F6</f>
        <v/>
      </c>
      <c r="M6" s="13">
        <f>(Actuals!F6-Inputs!F6)*Inputs!G6</f>
        <v/>
      </c>
      <c r="N6" s="13">
        <f>Actuals!H6-Inputs!H6</f>
        <v/>
      </c>
      <c r="O6" s="13">
        <f>Inputs!H6-(Inputs!I6*Inputs!F6)</f>
        <v/>
      </c>
      <c r="P6" s="13">
        <f>-(Actuals!I6-Inputs!J6)*Actuals!J6</f>
        <v/>
      </c>
      <c r="Q6" s="13">
        <f>-(Actuals!J6-Inputs!K6)*Inputs!J6</f>
        <v/>
      </c>
      <c r="R6" s="13">
        <f>0</f>
        <v/>
      </c>
      <c r="S6" s="13">
        <f>SUM(E6:O6)</f>
        <v/>
      </c>
      <c r="T6" s="13">
        <f>SUM(P6:R6)</f>
        <v/>
      </c>
    </row>
    <row r="7">
      <c r="B7" s="12">
        <f>Inputs!B7</f>
        <v/>
      </c>
      <c r="C7" s="13">
        <f>Inputs!C7*Inputs!D7</f>
        <v/>
      </c>
      <c r="D7" s="13">
        <f>Actuals!C7*Actuals!D7</f>
        <v/>
      </c>
      <c r="E7" s="13">
        <f>SUMPRODUCT((MI_Product=B7)*(MI_Actual_Price-MI_Std_Price)*MI_Actual_Qty)</f>
        <v/>
      </c>
      <c r="F7" s="13">
        <f>SUMPRODUCT((MI_Product=B7)*(MI_Actual_Qty-MI_Std_Qty)*MI_Std_Price)</f>
        <v/>
      </c>
      <c r="G7" s="13">
        <f>IFERROR(SUMPRODUCT((MI_Product=B7)*(MI_Actual_Qty-SUMIF(MI_Product,B7,MI_Actual_Qty)*MI_Std_Qty/SUMIF(MI_Product,B7,MI_Std_Qty))*MI_Std_Price),0)</f>
        <v/>
      </c>
      <c r="H7" s="13">
        <f>F7-G7</f>
        <v/>
      </c>
      <c r="I7" s="13">
        <f>(Actuals!E7-Inputs!E7)*Actuals!F7</f>
        <v/>
      </c>
      <c r="J7" s="13">
        <f>(Actuals!F7-Inputs!F7)*Inputs!E7</f>
        <v/>
      </c>
      <c r="K7" s="13">
        <f>0</f>
        <v/>
      </c>
      <c r="L7" s="13">
        <f>Actuals!G7-Inputs!G7*Actuals!F7</f>
        <v/>
      </c>
      <c r="M7" s="13">
        <f>(Actuals!F7-Inputs!F7)*Inputs!G7</f>
        <v/>
      </c>
      <c r="N7" s="13">
        <f>Actuals!H7-Inputs!H7</f>
        <v/>
      </c>
      <c r="O7" s="13">
        <f>Inputs!H7-(Inputs!I7*Inputs!F7)</f>
        <v/>
      </c>
      <c r="P7" s="13">
        <f>-(Actuals!I7-Inputs!J7)*Actuals!J7</f>
        <v/>
      </c>
      <c r="Q7" s="13">
        <f>-(Actuals!J7-Inputs!K7)*Inputs!J7</f>
        <v/>
      </c>
      <c r="R7" s="13">
        <f>0</f>
        <v/>
      </c>
      <c r="S7" s="13">
        <f>SUM(E7:O7)</f>
        <v/>
      </c>
      <c r="T7" s="13">
        <f>SUM(P7:R7)</f>
        <v/>
      </c>
    </row>
    <row r="8">
      <c r="B8" s="12">
        <f>Inputs!B8</f>
        <v/>
      </c>
      <c r="C8" s="13">
        <f>Inputs!C8*Inputs!D8</f>
        <v/>
      </c>
      <c r="D8" s="13">
        <f>Actuals!C8*Actuals!D8</f>
        <v/>
      </c>
      <c r="E8" s="13">
        <f>SUMPRODUCT((MI_Product=B8)*(MI_Actual_Price-MI_Std_Price)*MI_Actual_Qty)</f>
        <v/>
      </c>
      <c r="F8" s="13">
        <f>SUMPRODUCT((MI_Product=B8)*(MI_Actual_Qty-MI_Std_Qty)*MI_Std_Price)</f>
        <v/>
      </c>
      <c r="G8" s="13">
        <f>IFERROR(SUMPRODUCT((MI_Product=B8)*(MI_Actual_Qty-SUMIF(MI_Product,B8,MI_Actual_Qty)*MI_Std_Qty/SUMIF(MI_Product,B8,MI_Std_Qty))*MI_Std_Price),0)</f>
        <v/>
      </c>
      <c r="H8" s="13">
        <f>F8-G8</f>
        <v/>
      </c>
      <c r="I8" s="13">
        <f>(Actuals!E8-Inputs!E8)*Actuals!F8</f>
        <v/>
      </c>
      <c r="J8" s="13">
        <f>(Actuals!F8-Inputs!F8)*Inputs!E8</f>
        <v/>
      </c>
      <c r="K8" s="13">
        <f>0</f>
        <v/>
      </c>
      <c r="L8" s="13">
        <f>Actuals!G8-Inputs!G8*Actuals!F8</f>
        <v/>
      </c>
      <c r="M8" s="13">
        <f>(Actuals!F8-Inputs!F8)*Inputs!G8</f>
        <v/>
      </c>
      <c r="N8" s="13">
        <f>Actuals!H8-Inputs!H8</f>
        <v/>
      </c>
      <c r="O8" s="13">
        <f>Inputs!H8-(Inputs!I8*Inputs!F8)</f>
        <v/>
      </c>
      <c r="P8" s="13">
        <f>-(Actuals!I8-Inputs!J8)*Actuals!J8</f>
        <v/>
      </c>
      <c r="Q8" s="13">
        <f>-(Actuals!J8-Inputs!K8)*Inputs!J8</f>
        <v/>
      </c>
      <c r="R8" s="13">
        <f>0</f>
        <v/>
      </c>
      <c r="S8" s="13">
        <f>SUM(E8:O8)</f>
        <v/>
      </c>
      <c r="T8" s="13">
        <f>SUM(P8:R8)</f>
        <v/>
      </c>
    </row>
    <row r="9">
      <c r="B9" s="12">
        <f>Inputs!B9</f>
        <v/>
      </c>
      <c r="C9" s="13">
        <f>Inputs!C9*Inputs!D9</f>
        <v/>
      </c>
      <c r="D9" s="13">
        <f>Actuals!C9*Actuals!D9</f>
        <v/>
      </c>
      <c r="E9" s="13">
        <f>SUMPRODUCT((MI_Product=B9)*(MI_Actual_Price-MI_Std_Price)*MI_Actual_Qty)</f>
        <v/>
      </c>
      <c r="F9" s="13">
        <f>SUMPRODUCT((MI_Product=B9)*(MI_Actual_Qty-MI_Std_Qty)*MI_Std_Price)</f>
        <v/>
      </c>
      <c r="G9" s="13">
        <f>IFERROR(SUMPRODUCT((MI_Product=B9)*(MI_Actual_Qty-SUMIF(MI_Product,B9,MI_Actual_Qty)*MI_Std_Qty/SUMIF(MI_Product,B9,MI_Std_Qty))*MI_Std_Price),0)</f>
        <v/>
      </c>
      <c r="H9" s="13">
        <f>F9-G9</f>
        <v/>
      </c>
      <c r="I9" s="13">
        <f>(Actuals!E9-Inputs!E9)*Actuals!F9</f>
        <v/>
      </c>
      <c r="J9" s="13">
        <f>(Actuals!F9-Inputs!F9)*Inputs!E9</f>
        <v/>
      </c>
      <c r="K9" s="13">
        <f>0</f>
        <v/>
      </c>
      <c r="L9" s="13">
        <f>Actuals!G9-Inputs!G9*Actuals!F9</f>
        <v/>
      </c>
      <c r="M9" s="13">
        <f>(Actuals!F9-Inputs!F9)*Inputs!G9</f>
        <v/>
      </c>
      <c r="N9" s="13">
        <f>Actuals!H9-Inputs!H9</f>
        <v/>
      </c>
      <c r="O9" s="13">
        <f>Inputs!H9-(Inputs!I9*Inputs!F9)</f>
        <v/>
      </c>
      <c r="P9" s="13">
        <f>-(Actuals!I9-Inputs!J9)*Actuals!J9</f>
        <v/>
      </c>
      <c r="Q9" s="13">
        <f>-(Actuals!J9-Inputs!K9)*Inputs!J9</f>
        <v/>
      </c>
      <c r="R9" s="13">
        <f>0</f>
        <v/>
      </c>
      <c r="S9" s="13">
        <f>SUM(E9:O9)</f>
        <v/>
      </c>
      <c r="T9" s="13">
        <f>SUM(P9:R9)</f>
        <v/>
      </c>
    </row>
    <row r="10">
      <c r="B10" s="12">
        <f>Inputs!B10</f>
        <v/>
      </c>
      <c r="C10" s="13">
        <f>Inputs!C10*Inputs!D10</f>
        <v/>
      </c>
      <c r="D10" s="13">
        <f>Actuals!C10*Actuals!D10</f>
        <v/>
      </c>
      <c r="E10" s="13">
        <f>SUMPRODUCT((MI_Product=B10)*(MI_Actual_Price-MI_Std_Price)*MI_Actual_Qty)</f>
        <v/>
      </c>
      <c r="F10" s="13">
        <f>SUMPRODUCT((MI_Product=B10)*(MI_Actual_Qty-MI_Std_Qty)*MI_Std_Price)</f>
        <v/>
      </c>
      <c r="G10" s="13">
        <f>IFERROR(SUMPRODUCT((MI_Product=B10)*(MI_Actual_Qty-SUMIF(MI_Product,B10,MI_Actual_Qty)*MI_Std_Qty/SUMIF(MI_Product,B10,MI_Std_Qty))*MI_Std_Price),0)</f>
        <v/>
      </c>
      <c r="H10" s="13">
        <f>F10-G10</f>
        <v/>
      </c>
      <c r="I10" s="13">
        <f>(Actuals!E10-Inputs!E10)*Actuals!F10</f>
        <v/>
      </c>
      <c r="J10" s="13">
        <f>(Actuals!F10-Inputs!F10)*Inputs!E10</f>
        <v/>
      </c>
      <c r="K10" s="13">
        <f>0</f>
        <v/>
      </c>
      <c r="L10" s="13">
        <f>Actuals!G10-Inputs!G10*Actuals!F10</f>
        <v/>
      </c>
      <c r="M10" s="13">
        <f>(Actuals!F10-Inputs!F10)*Inputs!G10</f>
        <v/>
      </c>
      <c r="N10" s="13">
        <f>Actuals!H10-Inputs!H10</f>
        <v/>
      </c>
      <c r="O10" s="13">
        <f>Inputs!H10-(Inputs!I10*Inputs!F10)</f>
        <v/>
      </c>
      <c r="P10" s="13">
        <f>-(Actuals!I10-Inputs!J10)*Actuals!J10</f>
        <v/>
      </c>
      <c r="Q10" s="13">
        <f>-(Actuals!J10-Inputs!K10)*Inputs!J10</f>
        <v/>
      </c>
      <c r="R10" s="13">
        <f>0</f>
        <v/>
      </c>
      <c r="S10" s="13">
        <f>SUM(E10:O10)</f>
        <v/>
      </c>
      <c r="T10" s="13">
        <f>SUM(P10:R10)</f>
        <v/>
      </c>
    </row>
    <row r="11">
      <c r="B11" s="14" t="inlineStr">
        <is>
          <t>Grand Total</t>
        </is>
      </c>
      <c r="C11" s="13">
        <f>SUM(C6:C10)</f>
        <v/>
      </c>
      <c r="D11" s="13">
        <f>SUM(D6:D10)</f>
        <v/>
      </c>
      <c r="E11" s="13">
        <f>SUM(E6:E10)</f>
        <v/>
      </c>
      <c r="F11" s="13">
        <f>SUM(F6:F10)</f>
        <v/>
      </c>
      <c r="G11" s="13">
        <f>SUM(G6:G10)</f>
        <v/>
      </c>
      <c r="H11" s="13">
        <f>SUM(H6:H10)</f>
        <v/>
      </c>
      <c r="I11" s="13">
        <f>SUM(I6:I10)</f>
        <v/>
      </c>
      <c r="J11" s="13">
        <f>SUM(J6:J10)</f>
        <v/>
      </c>
      <c r="K11" s="13">
        <f>SUM(K6:K10)</f>
        <v/>
      </c>
      <c r="L11" s="13">
        <f>SUM(L6:L10)</f>
        <v/>
      </c>
      <c r="M11" s="13">
        <f>SUM(M6:M10)</f>
        <v/>
      </c>
      <c r="N11" s="13">
        <f>SUM(N6:N10)</f>
        <v/>
      </c>
      <c r="O11" s="13">
        <f>SUM(O6:O10)</f>
        <v/>
      </c>
      <c r="P11" s="13">
        <f>SUM(P6:P10)</f>
        <v/>
      </c>
      <c r="Q11" s="13">
        <f>SUM(Q6:Q10)</f>
        <v/>
      </c>
      <c r="R11" s="13">
        <f>SUM(R6:R10)</f>
        <v/>
      </c>
      <c r="S11" s="13">
        <f>SUM(S6:S10)</f>
        <v/>
      </c>
      <c r="T11" s="13">
        <f>SUM(T6:T10)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/>
    <row r="2">
      <c r="B2" s="1" t="inlineStr">
        <is>
          <t>Dashboard</t>
        </is>
      </c>
    </row>
    <row r="3">
      <c r="B3" s="2" t="inlineStr">
        <is>
          <t>Operating-profit bridge and variance KPI summary</t>
        </is>
      </c>
    </row>
    <row r="4">
      <c r="B4" s="3" t="inlineStr">
        <is>
          <t>Operating Profit Bridge</t>
        </is>
      </c>
      <c r="C4" s="3" t="inlineStr">
        <is>
          <t>Amount</t>
        </is>
      </c>
    </row>
    <row r="5">
      <c r="B5" s="4" t="inlineStr">
        <is>
          <t>Budgeted operating profit</t>
        </is>
      </c>
      <c r="C5" s="15">
        <f>SUMPRODUCT(Budgeted_Selling_Price,Budgeted_Units)-SUMPRODUCT(Std_Price_Unit,Std_Qty)-SUMPRODUCT(Std_Labor_Rate,Std_Labor_Hours)-SUMPRODUCT(Std_Var_OH_Rate_Hr,Std_Labor_Hours)-SUMPRODUCT(Std_Fixed_OH_Rate_Hr,Std_Labor_Hours)</f>
        <v/>
      </c>
    </row>
    <row r="6">
      <c r="B6" s="5" t="inlineStr">
        <is>
          <t>Sales price variance</t>
        </is>
      </c>
      <c r="C6" s="16">
        <f>-Calc!P11</f>
        <v/>
      </c>
    </row>
    <row r="7">
      <c r="B7" s="5" t="inlineStr">
        <is>
          <t>Sales volume variance</t>
        </is>
      </c>
      <c r="C7" s="16">
        <f>-Calc!Q11</f>
        <v/>
      </c>
    </row>
    <row r="8">
      <c r="B8" s="5" t="inlineStr">
        <is>
          <t>Sales mix variance</t>
        </is>
      </c>
      <c r="C8" s="16">
        <f>-Calc!R11</f>
        <v/>
      </c>
    </row>
    <row r="9">
      <c r="B9" s="5" t="inlineStr">
        <is>
          <t>Cost variances</t>
        </is>
      </c>
      <c r="C9" s="16">
        <f>-Calc!S11</f>
        <v/>
      </c>
    </row>
    <row r="10">
      <c r="B10" s="5" t="inlineStr">
        <is>
          <t>Actual operating profit</t>
        </is>
      </c>
      <c r="C10" s="16">
        <f>SUM(C5:C9)</f>
        <v/>
      </c>
    </row>
    <row r="11"/>
    <row r="12"/>
    <row r="13"/>
    <row r="14"/>
    <row r="15">
      <c r="B15" s="7" t="inlineStr">
        <is>
          <t>Variance</t>
        </is>
      </c>
      <c r="C15" s="7" t="inlineStr">
        <is>
          <t>Amount</t>
        </is>
      </c>
      <c r="D15" s="7" t="inlineStr">
        <is>
          <t>F/U</t>
        </is>
      </c>
      <c r="E15" s="7" t="inlineStr">
        <is>
          <t>% of Standard</t>
        </is>
      </c>
    </row>
    <row r="16">
      <c r="B16" s="5" t="inlineStr">
        <is>
          <t>Material</t>
        </is>
      </c>
      <c r="C16" s="16">
        <f>SUM(Calc!E11:H11)</f>
        <v/>
      </c>
      <c r="D16" s="5">
        <f>IF(C16&gt;0,"Unfavorable",IF(C16&lt;0,"Favorable","Neutral"))</f>
        <v/>
      </c>
      <c r="E16" s="17">
        <f>IFERROR(C16/(Calc!C11),0)</f>
        <v/>
      </c>
    </row>
    <row r="17">
      <c r="B17" s="5" t="inlineStr">
        <is>
          <t>Labor</t>
        </is>
      </c>
      <c r="C17" s="16">
        <f>SUM(Calc!I11:K11)</f>
        <v/>
      </c>
      <c r="D17" s="5">
        <f>IF(C17&gt;0,"Unfavorable",IF(C17&lt;0,"Favorable","Neutral"))</f>
        <v/>
      </c>
      <c r="E17" s="17">
        <f>IFERROR(C17/(SUMPRODUCT(Std_Labor_Rate,Std_Labor_Hours)),0)</f>
        <v/>
      </c>
    </row>
    <row r="18">
      <c r="B18" s="5" t="inlineStr">
        <is>
          <t>Variable OH</t>
        </is>
      </c>
      <c r="C18" s="16">
        <f>SUM(Calc!L11:M11)</f>
        <v/>
      </c>
      <c r="D18" s="5">
        <f>IF(C18&gt;0,"Unfavorable",IF(C18&lt;0,"Favorable","Neutral"))</f>
        <v/>
      </c>
      <c r="E18" s="17">
        <f>IFERROR(C18/(SUMPRODUCT(Std_Var_OH_Rate_Hr,Std_Labor_Hours)),0)</f>
        <v/>
      </c>
    </row>
    <row r="19">
      <c r="B19" s="5" t="inlineStr">
        <is>
          <t>Fixed OH</t>
        </is>
      </c>
      <c r="C19" s="16">
        <f>SUM(Calc!N11:O11)</f>
        <v/>
      </c>
      <c r="D19" s="5">
        <f>IF(C19&gt;0,"Unfavorable",IF(C19&lt;0,"Favorable","Neutral"))</f>
        <v/>
      </c>
      <c r="E19" s="17">
        <f>IFERROR(C19/(SUMPRODUCT(Std_Fixed_OH_Rate_Hr,Std_Labor_Hours)),0)</f>
        <v/>
      </c>
    </row>
    <row r="20">
      <c r="B20" s="5" t="inlineStr">
        <is>
          <t>Sales</t>
        </is>
      </c>
      <c r="C20" s="16">
        <f>Calc!T11</f>
        <v/>
      </c>
      <c r="D20" s="5">
        <f>IF(C20&gt;0,"Unfavorable",IF(C20&lt;0,"Favorable","Neutral"))</f>
        <v/>
      </c>
      <c r="E20" s="17">
        <f>IFERROR(C20/(SUMPRODUCT(Budgeted_Selling_Price,Budgeted_Units)),0)</f>
        <v/>
      </c>
    </row>
    <row r="21"/>
    <row r="22"/>
    <row r="23"/>
    <row r="24">
      <c r="B24" s="7" t="inlineStr">
        <is>
          <t>Cost Reconciliation</t>
        </is>
      </c>
      <c r="C24" s="7" t="inlineStr">
        <is>
          <t>Amount</t>
        </is>
      </c>
    </row>
    <row r="25">
      <c r="B25" s="5" t="inlineStr">
        <is>
          <t>Standard cost</t>
        </is>
      </c>
      <c r="C25" s="16">
        <f>SUMPRODUCT(Std_Price_Unit,Std_Qty)+SUMPRODUCT(Std_Labor_Rate,Std_Labor_Hours)+SUMPRODUCT(Std_Var_OH_Rate_Hr,Std_Labor_Hours)+SUMPRODUCT(Std_Fixed_OH_Rate_Hr,Std_Labor_Hours)</f>
        <v/>
      </c>
    </row>
    <row r="26">
      <c r="B26" s="5" t="inlineStr">
        <is>
          <t>Actual cost</t>
        </is>
      </c>
      <c r="C26" s="16">
        <f>SUMPRODUCT(Actual_Price,Actual_Qty)+SUMPRODUCT(Actual_Labor_Rate,Actual_Labor_Hours)+SUM(Actual_Var_OH)+SUM(Actual_Fixed_OH)</f>
        <v/>
      </c>
    </row>
    <row r="27">
      <c r="B27" s="5" t="inlineStr">
        <is>
          <t>Total cost variance</t>
        </is>
      </c>
      <c r="C27" s="16">
        <f>C26-C25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/>
    <row r="2">
      <c r="B2" s="1" t="inlineStr">
        <is>
          <t>Worked Example — Two Product Single-Material Case</t>
        </is>
      </c>
    </row>
    <row r="3">
      <c r="B3" s="2" t="inlineStr">
        <is>
          <t>Matches the requested cost-side grand totals.</t>
        </is>
      </c>
    </row>
    <row r="4"/>
    <row r="5">
      <c r="B5" s="7" t="inlineStr">
        <is>
          <t>Product</t>
        </is>
      </c>
      <c r="C5" s="7" t="inlineStr">
        <is>
          <t>Std price</t>
        </is>
      </c>
      <c r="D5" s="7" t="inlineStr">
        <is>
          <t>Std qty</t>
        </is>
      </c>
      <c r="E5" s="7" t="inlineStr">
        <is>
          <t>Actual price</t>
        </is>
      </c>
      <c r="F5" s="7" t="inlineStr">
        <is>
          <t>Actual qty</t>
        </is>
      </c>
      <c r="G5" s="7" t="inlineStr">
        <is>
          <t>Std labor rate</t>
        </is>
      </c>
      <c r="H5" s="7" t="inlineStr">
        <is>
          <t>Std labor hours</t>
        </is>
      </c>
      <c r="I5" s="7" t="inlineStr">
        <is>
          <t>Actual labor rate</t>
        </is>
      </c>
      <c r="J5" s="7" t="inlineStr">
        <is>
          <t>Actual labor hours</t>
        </is>
      </c>
      <c r="K5" s="7" t="inlineStr">
        <is>
          <t>Std var OH rate</t>
        </is>
      </c>
      <c r="L5" s="7" t="inlineStr">
        <is>
          <t>Actual var OH</t>
        </is>
      </c>
      <c r="M5" s="7" t="inlineStr">
        <is>
          <t>Budgeted fixed OH</t>
        </is>
      </c>
      <c r="N5" s="7" t="inlineStr">
        <is>
          <t>Std fixed OH rate</t>
        </is>
      </c>
      <c r="O5" s="7" t="inlineStr">
        <is>
          <t>Actual fixed OH</t>
        </is>
      </c>
    </row>
    <row r="6">
      <c r="B6" s="8" t="inlineStr">
        <is>
          <t>Product A</t>
        </is>
      </c>
      <c r="C6" s="8" t="n">
        <v>5</v>
      </c>
      <c r="D6" s="8" t="n">
        <v>3000</v>
      </c>
      <c r="E6" s="8" t="n">
        <v>5.2</v>
      </c>
      <c r="F6" s="8" t="n">
        <v>3200</v>
      </c>
      <c r="G6" s="8" t="n">
        <v>20</v>
      </c>
      <c r="H6" s="8" t="n">
        <v>2000</v>
      </c>
      <c r="I6" s="8" t="n">
        <v>19.5</v>
      </c>
      <c r="J6" s="8" t="n">
        <v>2100</v>
      </c>
      <c r="K6" s="8" t="n">
        <v>4</v>
      </c>
      <c r="L6" s="8" t="n">
        <v>8600</v>
      </c>
      <c r="M6" s="8" t="n">
        <v>11000</v>
      </c>
      <c r="N6" s="8" t="n">
        <v>5</v>
      </c>
      <c r="O6" s="8" t="n">
        <v>11300</v>
      </c>
    </row>
    <row r="7">
      <c r="B7" s="8" t="inlineStr">
        <is>
          <t>Product B</t>
        </is>
      </c>
      <c r="C7" s="8" t="n">
        <v>8</v>
      </c>
      <c r="D7" s="8" t="n">
        <v>1000</v>
      </c>
      <c r="E7" s="8" t="n">
        <v>7.8</v>
      </c>
      <c r="F7" s="8" t="n">
        <v>1050</v>
      </c>
      <c r="G7" s="8" t="n">
        <v>25</v>
      </c>
      <c r="H7" s="8" t="n">
        <v>750</v>
      </c>
      <c r="I7" s="8" t="n">
        <v>25.4</v>
      </c>
      <c r="J7" s="8" t="n">
        <v>720</v>
      </c>
      <c r="K7" s="8" t="n">
        <v>6</v>
      </c>
      <c r="L7" s="8" t="n">
        <v>4700</v>
      </c>
      <c r="M7" s="8" t="n">
        <v>6000</v>
      </c>
      <c r="N7" s="8" t="n">
        <v>8</v>
      </c>
      <c r="O7" s="8" t="n">
        <v>5900</v>
      </c>
    </row>
    <row r="8"/>
    <row r="9"/>
    <row r="10"/>
    <row r="11">
      <c r="B11" s="3" t="inlineStr">
        <is>
          <t>Product</t>
        </is>
      </c>
      <c r="C11" s="3" t="inlineStr">
        <is>
          <t>Std Cost</t>
        </is>
      </c>
      <c r="D11" s="3" t="inlineStr">
        <is>
          <t>Actual Cost</t>
        </is>
      </c>
      <c r="E11" s="3" t="inlineStr">
        <is>
          <t>Material Price</t>
        </is>
      </c>
      <c r="F11" s="3" t="inlineStr">
        <is>
          <t>Material Qty</t>
        </is>
      </c>
      <c r="G11" s="3" t="inlineStr">
        <is>
          <t>Labor Rate</t>
        </is>
      </c>
      <c r="H11" s="3" t="inlineStr">
        <is>
          <t>Labor Eff</t>
        </is>
      </c>
      <c r="I11" s="3" t="inlineStr">
        <is>
          <t>Var OH Spend</t>
        </is>
      </c>
      <c r="J11" s="3" t="inlineStr">
        <is>
          <t>Var OH Eff</t>
        </is>
      </c>
      <c r="K11" s="3" t="inlineStr">
        <is>
          <t>Fixed Budget</t>
        </is>
      </c>
      <c r="L11" s="3" t="inlineStr">
        <is>
          <t>Fixed Volume</t>
        </is>
      </c>
      <c r="M11" s="3" t="inlineStr">
        <is>
          <t>Total Cost Variance</t>
        </is>
      </c>
    </row>
    <row r="12">
      <c r="B12" s="12">
        <f>B6</f>
        <v/>
      </c>
      <c r="C12" s="13">
        <f>C6*D6+G6*H6+K6*H6+N6*H6</f>
        <v/>
      </c>
      <c r="D12" s="13">
        <f>E6*F6+I6*J6+L6+O6</f>
        <v/>
      </c>
      <c r="E12" s="13">
        <f>(E6-C6)*F6</f>
        <v/>
      </c>
      <c r="F12" s="13">
        <f>(F6-D6)*C6</f>
        <v/>
      </c>
      <c r="G12" s="13">
        <f>(I6-G6)*J6</f>
        <v/>
      </c>
      <c r="H12" s="13">
        <f>(J6-H6)*G6</f>
        <v/>
      </c>
      <c r="I12" s="13">
        <f>L6-K6*J6</f>
        <v/>
      </c>
      <c r="J12" s="13">
        <f>(J6-H6)*K6</f>
        <v/>
      </c>
      <c r="K12" s="13">
        <f>O6-M6</f>
        <v/>
      </c>
      <c r="L12" s="13">
        <f>M6-N6*H6</f>
        <v/>
      </c>
      <c r="M12" s="13">
        <f>SUM(E12:L12)</f>
        <v/>
      </c>
    </row>
    <row r="13">
      <c r="B13" s="12">
        <f>B7</f>
        <v/>
      </c>
      <c r="C13" s="13">
        <f>C7*D7+G7*H7+K7*H7+N7*H7</f>
        <v/>
      </c>
      <c r="D13" s="13">
        <f>E7*F7+I7*J7+L7+O7</f>
        <v/>
      </c>
      <c r="E13" s="13">
        <f>(E7-C7)*F7</f>
        <v/>
      </c>
      <c r="F13" s="13">
        <f>(F7-D7)*C7</f>
        <v/>
      </c>
      <c r="G13" s="13">
        <f>(I7-G7)*J7</f>
        <v/>
      </c>
      <c r="H13" s="13">
        <f>(J7-H7)*G7</f>
        <v/>
      </c>
      <c r="I13" s="13">
        <f>L7-K7*J7</f>
        <v/>
      </c>
      <c r="J13" s="13">
        <f>(J7-H7)*K7</f>
        <v/>
      </c>
      <c r="K13" s="13">
        <f>O7-M7</f>
        <v/>
      </c>
      <c r="L13" s="13">
        <f>M7-N7*H7</f>
        <v/>
      </c>
      <c r="M13" s="13">
        <f>SUM(E13:L13)</f>
        <v/>
      </c>
    </row>
    <row r="14">
      <c r="B14" s="18" t="inlineStr">
        <is>
          <t>Grand Total</t>
        </is>
      </c>
      <c r="C14" s="19">
        <f>SUM(C12:C13)</f>
        <v/>
      </c>
      <c r="D14" s="19">
        <f>SUM(D12:D13)</f>
        <v/>
      </c>
      <c r="E14" s="19">
        <f>SUM(E12:E13)</f>
        <v/>
      </c>
      <c r="F14" s="19">
        <f>SUM(F12:F13)</f>
        <v/>
      </c>
      <c r="G14" s="19">
        <f>SUM(G12:G13)</f>
        <v/>
      </c>
      <c r="H14" s="19">
        <f>SUM(H12:H13)</f>
        <v/>
      </c>
      <c r="I14" s="19">
        <f>SUM(I12:I13)</f>
        <v/>
      </c>
      <c r="J14" s="19">
        <f>SUM(J12:J13)</f>
        <v/>
      </c>
      <c r="K14" s="19">
        <f>SUM(K12:K13)</f>
        <v/>
      </c>
      <c r="L14" s="19">
        <f>SUM(L12:L13)</f>
        <v/>
      </c>
      <c r="M14" s="19">
        <f>SUM(M12:M13)</f>
        <v/>
      </c>
    </row>
    <row r="15"/>
    <row r="16"/>
    <row r="17"/>
    <row r="18">
      <c r="B18" s="20" t="inlineStr">
        <is>
          <t>Standard cost</t>
        </is>
      </c>
      <c r="C18" s="21">
        <f>C14</f>
        <v/>
      </c>
      <c r="D18" s="22" t="n"/>
    </row>
    <row r="19">
      <c r="B19" s="20" t="inlineStr">
        <is>
          <t>Actual cost</t>
        </is>
      </c>
      <c r="C19" s="21">
        <f>D14</f>
        <v/>
      </c>
      <c r="D19" s="22" t="n"/>
    </row>
    <row r="20">
      <c r="B20" s="20" t="inlineStr">
        <is>
          <t>Total cost variance</t>
        </is>
      </c>
      <c r="C20" s="21">
        <f>M14</f>
        <v/>
      </c>
      <c r="D20" s="20">
        <f>IF(C20&gt;0,"Unfavorable",IF(C20&lt;0,"Favorable","Neutral"))</f>
        <v/>
      </c>
    </row>
    <row r="21"/>
    <row r="22">
      <c r="B22" s="23" t="inlineStr">
        <is>
          <t>Required check</t>
        </is>
      </c>
      <c r="C22" s="23">
        <f>AND(C18=110250,C19=114568,C20=4318)</f>
        <v/>
      </c>
      <c r="D22" s="23" t="inlineStr">
        <is>
          <t>TRUE means the example totals match the specification.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2026-06-04T01:28:12Z</dcterms:created>
  <dcterms:modified xmlns:dcterms="http://purl.org/dc/terms/" xmlns:xsi="http://www.w3.org/2001/XMLSchema-instance" xsi:type="dcterms:W3CDTF">2026-06-04T01:28:12Z</dcterms:modified>
</cp:coreProperties>
</file>