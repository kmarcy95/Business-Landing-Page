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ow_to_Use" sheetId="2" state="visible" r:id="rId2"/>
    <sheet xmlns:r="http://schemas.openxmlformats.org/officeDocument/2006/relationships" name="Inputs_CashFlow" sheetId="3" state="visible" r:id="rId3"/>
    <sheet xmlns:r="http://schemas.openxmlformats.org/officeDocument/2006/relationships" name="Runway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Upgrade" sheetId="6" state="visible" r:id="rId6"/>
  </sheets>
  <definedNames>
    <definedName name="StartCash">Inputs_CashFlow!$B$2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Aptos Narrow"/>
      <family val="2"/>
      <color theme="1"/>
      <sz val="11"/>
      <scheme val="minor"/>
    </font>
    <font>
      <name val="Calibri"/>
      <family val="2"/>
      <b val="1"/>
      <color rgb="FF0A0A0A"/>
      <sz val="26"/>
    </font>
    <font>
      <name val="Calibri"/>
      <family val="2"/>
      <i val="1"/>
      <color rgb="FF525252"/>
      <sz val="13"/>
    </font>
    <font>
      <name val="Calibri"/>
      <family val="2"/>
      <color rgb="FF737373"/>
      <sz val="11"/>
    </font>
    <font>
      <name val="Calibri"/>
      <family val="2"/>
      <color rgb="FF525252"/>
      <sz val="10"/>
    </font>
    <font>
      <name val="Calibri"/>
      <family val="2"/>
      <color rgb="FF737373"/>
      <sz val="9"/>
    </font>
    <font>
      <name val="Calibri"/>
      <family val="2"/>
      <b val="1"/>
      <color rgb="FF0A0A0A"/>
      <sz val="18"/>
    </font>
    <font>
      <name val="Calibri"/>
      <family val="2"/>
      <color rgb="FF0A0A0A"/>
      <sz val="12"/>
    </font>
    <font>
      <name val="Calibri"/>
      <family val="2"/>
      <i val="1"/>
      <color rgb="FF00B8FF"/>
      <sz val="11"/>
    </font>
    <font>
      <name val="Calibri"/>
      <family val="2"/>
      <color rgb="FF00B8FF"/>
      <sz val="11"/>
    </font>
    <font>
      <name val="Calibri"/>
      <family val="2"/>
      <color rgb="FF525252"/>
      <sz val="11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b val="1"/>
      <color rgb="FF0A0A0A"/>
      <sz val="16"/>
    </font>
    <font>
      <name val="Calibri"/>
      <family val="2"/>
      <b val="1"/>
      <color rgb="FFFAFAFA"/>
      <sz val="11"/>
    </font>
    <font>
      <name val="Calibri"/>
      <family val="2"/>
      <b val="1"/>
      <color rgb="FF00B8FF"/>
      <sz val="11"/>
    </font>
    <font>
      <name val="Calibri"/>
      <family val="2"/>
      <b val="1"/>
      <color rgb="FFEF4444"/>
      <sz val="11"/>
    </font>
    <font>
      <name val="Calibri"/>
      <family val="2"/>
      <b val="1"/>
      <color rgb="FF0A0A0A"/>
      <sz val="11"/>
    </font>
    <font>
      <name val="Calibri"/>
      <family val="2"/>
      <i val="1"/>
      <color rgb="FF737373"/>
      <sz val="10"/>
    </font>
    <font>
      <name val="Calibri"/>
      <family val="2"/>
      <color theme="1"/>
      <sz val="11"/>
    </font>
    <font>
      <name val="Calibri"/>
      <family val="2"/>
      <b val="1"/>
      <color rgb="FF0A0A0A"/>
      <sz val="12"/>
    </font>
    <font>
      <name val="Calibri"/>
      <family val="2"/>
      <i val="1"/>
      <color rgb="FF737373"/>
      <sz val="9"/>
    </font>
    <font>
      <name val="Calibri"/>
      <family val="2"/>
      <b val="1"/>
      <color theme="1"/>
      <sz val="12"/>
    </font>
  </fonts>
  <fills count="4">
    <fill>
      <patternFill/>
    </fill>
    <fill>
      <patternFill patternType="gray125"/>
    </fill>
    <fill>
      <patternFill patternType="solid">
        <fgColor rgb="FFF0FBFF"/>
        <bgColor indexed="64"/>
      </patternFill>
    </fill>
    <fill>
      <patternFill patternType="solid">
        <fgColor rgb="FF0A0A0A"/>
        <bgColor indexed="64"/>
      </patternFill>
    </fill>
  </fills>
  <borders count="2">
    <border>
      <left/>
      <right/>
      <top/>
      <bottom/>
      <diagonal/>
    </border>
    <border>
      <left style="thin">
        <color rgb="FF00B8FF"/>
      </left>
      <right style="thin">
        <color rgb="FF00B8FF"/>
      </right>
      <top style="thin">
        <color rgb="FF00B8FF"/>
      </top>
      <bottom style="thin">
        <color rgb="FF00B8F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3" fillId="0" borderId="0" pivotButton="0" quotePrefix="0" xfId="0"/>
    <xf numFmtId="0" fontId="12" fillId="0" borderId="0" applyAlignment="1" pivotButton="0" quotePrefix="0" xfId="0">
      <alignment horizontal="right"/>
    </xf>
    <xf numFmtId="42" fontId="0" fillId="0" borderId="0" pivotButton="0" quotePrefix="0" xfId="0"/>
    <xf numFmtId="42" fontId="0" fillId="2" borderId="1" pivotButton="0" quotePrefix="0" xfId="0"/>
    <xf numFmtId="0" fontId="14" fillId="3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42" fontId="11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12" fillId="0" borderId="0" pivotButton="0" quotePrefix="0" xfId="0"/>
    <xf numFmtId="0" fontId="20" fillId="0" borderId="0" pivotButton="0" quotePrefix="0" xfId="0"/>
    <xf numFmtId="164" fontId="0" fillId="2" borderId="1" pivotButton="0" quotePrefix="0" xfId="0"/>
    <xf numFmtId="0" fontId="21" fillId="0" borderId="0" pivotButton="0" quotePrefix="0" xfId="0"/>
    <xf numFmtId="0" fontId="22" fillId="0" borderId="0" pivotButton="0" quotePrefix="0" xfId="0"/>
    <xf numFmtId="2" fontId="0" fillId="2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/>
  </cellStyles>
  <dxfs count="3">
    <dxf>
      <font>
        <b val="1"/>
        <color rgb="FFCD4040"/>
      </font>
    </dxf>
    <dxf>
      <font>
        <color rgb="FF7F1D1D"/>
      </font>
      <fill>
        <patternFill>
          <bgColor rgb="FFFECACA"/>
        </patternFill>
      </fill>
    </dxf>
    <dxf>
      <font>
        <color rgb="FFEF4444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:H1"/>
    </sheetView>
  </sheetViews>
  <sheetFormatPr baseColWidth="8" defaultRowHeight="14.5"/>
  <sheetData>
    <row r="1" ht="42" customHeight="1">
      <c r="A1" s="26" t="inlineStr">
        <is>
          <t>Small-Business Cash Flow &amp; Runway Starter</t>
        </is>
      </c>
    </row>
    <row r="2" ht="24" customHeight="1">
      <c r="A2" s="28" t="inlineStr">
        <is>
          <t>Know exactly how many months of cash you have left.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>
      <c r="A4" s="30" t="inlineStr">
        <is>
          <t>Free edition · Version 1.0 · 2026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32" t="inlineStr">
        <is>
          <t>© KM Consulting · keystone.marcy@outlook.com · keystonemarcy.netlify.app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34" t="inlineStr">
        <is>
          <t>Free to use for your own business. Redistribution or resale prohibited. See LICENSE.</t>
        </is>
      </c>
    </row>
    <row r="9">
      <c r="A9" s="1" t="n"/>
      <c r="B9" s="1" t="n"/>
      <c r="C9" s="1" t="n"/>
      <c r="D9" s="1" t="n"/>
      <c r="E9" s="1" t="n"/>
      <c r="F9" s="1" t="n"/>
      <c r="G9" s="1" t="n"/>
      <c r="H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</row>
  </sheetData>
  <mergeCells count="5">
    <mergeCell ref="A4:H4"/>
    <mergeCell ref="A2:H2"/>
    <mergeCell ref="A1:H1"/>
    <mergeCell ref="A8:H8"/>
    <mergeCell ref="A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4.5"/>
  <cols>
    <col width="110.6328125" customWidth="1" min="1" max="1"/>
  </cols>
  <sheetData>
    <row r="1" ht="23.5" customHeight="1">
      <c r="A1" s="2" t="inlineStr">
        <is>
          <t>How to Use This Tracker</t>
        </is>
      </c>
    </row>
    <row r="3" ht="15.5" customHeight="1">
      <c r="A3" s="3" t="inlineStr">
        <is>
          <t>1. On Inputs_CashFlow, replace the sample inflow and outflow rows with your own categories (keep the column headers).</t>
        </is>
      </c>
    </row>
    <row r="4" ht="15.5" customHeight="1">
      <c r="A4" s="3" t="inlineStr">
        <is>
          <t>2. Enter your starting cash in Inputs_CashFlow cell B2.</t>
        </is>
      </c>
    </row>
    <row r="5" ht="15.5" customHeight="1">
      <c r="A5" s="3" t="inlineStr">
        <is>
          <t>3. Fill in your expected monthly amounts for the next 12 months.</t>
        </is>
      </c>
    </row>
    <row r="6" ht="15.5" customHeight="1">
      <c r="A6" s="3" t="inlineStr">
        <is>
          <t>4. Read the Runway sheet to see your projected balance and months-of-cash-left.</t>
        </is>
      </c>
    </row>
    <row r="7" ht="15.5" customHeight="1">
      <c r="A7" s="3" t="inlineStr">
        <is>
          <t>5. Use the Scenarios sheet to stress-test Lean and Growth cases.</t>
        </is>
      </c>
    </row>
    <row r="9">
      <c r="A9" s="4" t="inlineStr">
        <is>
          <t>Want weekly (13-week) precision and automatic bank-statement import? Upgrade — see the Upgrade sheet.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RowHeight="14.5"/>
  <cols>
    <col width="24.6328125" customWidth="1" min="1" max="1"/>
    <col width="10.6328125" customWidth="1" min="2" max="2"/>
    <col width="12.6328125" customWidth="1" min="3" max="14"/>
  </cols>
  <sheetData>
    <row r="1" ht="21" customHeight="1">
      <c r="A1" s="8" t="inlineStr">
        <is>
          <t>Cash Flow Inputs (12 months)</t>
        </is>
      </c>
    </row>
    <row r="2">
      <c r="A2" s="9" t="inlineStr">
        <is>
          <t>Starting Cash:</t>
        </is>
      </c>
      <c r="B2" s="11" t="n">
        <v>50000</v>
      </c>
    </row>
    <row r="4">
      <c r="A4" s="12" t="inlineStr">
        <is>
          <t>Category</t>
        </is>
      </c>
      <c r="B4" s="12" t="inlineStr">
        <is>
          <t>Type</t>
        </is>
      </c>
      <c r="C4" s="12" t="inlineStr">
        <is>
          <t>Month 1</t>
        </is>
      </c>
      <c r="D4" s="12" t="inlineStr">
        <is>
          <t>Month 2</t>
        </is>
      </c>
      <c r="E4" s="12" t="inlineStr">
        <is>
          <t>Month 3</t>
        </is>
      </c>
      <c r="F4" s="12" t="inlineStr">
        <is>
          <t>Month 4</t>
        </is>
      </c>
      <c r="G4" s="12" t="inlineStr">
        <is>
          <t>Month 5</t>
        </is>
      </c>
      <c r="H4" s="12" t="inlineStr">
        <is>
          <t>Month 6</t>
        </is>
      </c>
      <c r="I4" s="12" t="inlineStr">
        <is>
          <t>Month 7</t>
        </is>
      </c>
      <c r="J4" s="12" t="inlineStr">
        <is>
          <t>Month 8</t>
        </is>
      </c>
      <c r="K4" s="12" t="inlineStr">
        <is>
          <t>Month 9</t>
        </is>
      </c>
      <c r="L4" s="12" t="inlineStr">
        <is>
          <t>Month 10</t>
        </is>
      </c>
      <c r="M4" s="12" t="inlineStr">
        <is>
          <t>Month 11</t>
        </is>
      </c>
      <c r="N4" s="12" t="inlineStr">
        <is>
          <t>Month 12</t>
        </is>
      </c>
    </row>
    <row r="5">
      <c r="A5" s="13" t="inlineStr">
        <is>
          <t>CASH IN</t>
        </is>
      </c>
    </row>
    <row r="6">
      <c r="A6" t="inlineStr">
        <is>
          <t>Product Sales</t>
        </is>
      </c>
      <c r="B6" t="inlineStr">
        <is>
          <t>Inflow</t>
        </is>
      </c>
      <c r="C6" s="10" t="n">
        <v>30000</v>
      </c>
      <c r="D6" s="10" t="n">
        <v>31000</v>
      </c>
      <c r="E6" s="10" t="n">
        <v>32000</v>
      </c>
      <c r="F6" s="10" t="n">
        <v>33000</v>
      </c>
      <c r="G6" s="10" t="n">
        <v>34000</v>
      </c>
      <c r="H6" s="10" t="n">
        <v>35000</v>
      </c>
      <c r="I6" s="10" t="n">
        <v>36000</v>
      </c>
      <c r="J6" s="10" t="n">
        <v>37000</v>
      </c>
      <c r="K6" s="10" t="n">
        <v>38000</v>
      </c>
      <c r="L6" s="10" t="n">
        <v>39000</v>
      </c>
      <c r="M6" s="10" t="n">
        <v>39500</v>
      </c>
      <c r="N6" s="10" t="n">
        <v>40000</v>
      </c>
    </row>
    <row r="7">
      <c r="A7" t="inlineStr">
        <is>
          <t>Services / Recurring</t>
        </is>
      </c>
      <c r="B7" t="inlineStr">
        <is>
          <t>Inflow</t>
        </is>
      </c>
      <c r="C7" s="10" t="n">
        <v>12000</v>
      </c>
      <c r="D7" s="10" t="n">
        <v>12000</v>
      </c>
      <c r="E7" s="10" t="n">
        <v>12000</v>
      </c>
      <c r="F7" s="10" t="n">
        <v>12000</v>
      </c>
      <c r="G7" s="10" t="n">
        <v>12000</v>
      </c>
      <c r="H7" s="10" t="n">
        <v>12000</v>
      </c>
      <c r="I7" s="10" t="n">
        <v>12000</v>
      </c>
      <c r="J7" s="10" t="n">
        <v>12000</v>
      </c>
      <c r="K7" s="10" t="n">
        <v>12000</v>
      </c>
      <c r="L7" s="10" t="n">
        <v>12000</v>
      </c>
      <c r="M7" s="10" t="n">
        <v>12000</v>
      </c>
      <c r="N7" s="10" t="n">
        <v>12000</v>
      </c>
    </row>
    <row r="8">
      <c r="A8" t="inlineStr">
        <is>
          <t>Other Income</t>
        </is>
      </c>
      <c r="B8" t="inlineStr">
        <is>
          <t>Inflow</t>
        </is>
      </c>
      <c r="C8" s="10" t="n">
        <v>1500</v>
      </c>
      <c r="D8" s="10" t="n">
        <v>1500</v>
      </c>
      <c r="E8" s="10" t="n">
        <v>1500</v>
      </c>
      <c r="F8" s="10" t="n">
        <v>1500</v>
      </c>
      <c r="G8" s="10" t="n">
        <v>1500</v>
      </c>
      <c r="H8" s="10" t="n">
        <v>1500</v>
      </c>
      <c r="I8" s="10" t="n">
        <v>1500</v>
      </c>
      <c r="J8" s="10" t="n">
        <v>1500</v>
      </c>
      <c r="K8" s="10" t="n">
        <v>1500</v>
      </c>
      <c r="L8" s="10" t="n">
        <v>1500</v>
      </c>
      <c r="M8" s="10" t="n">
        <v>1500</v>
      </c>
      <c r="N8" s="10" t="n">
        <v>1500</v>
      </c>
    </row>
    <row r="9">
      <c r="A9" t="inlineStr">
        <is>
          <t>Owner / Loan Injection</t>
        </is>
      </c>
      <c r="B9" t="inlineStr">
        <is>
          <t>Inflow</t>
        </is>
      </c>
      <c r="C9" s="10" t="n">
        <v>20000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</row>
    <row r="11">
      <c r="A11" s="14" t="inlineStr">
        <is>
          <t>CASH OUT</t>
        </is>
      </c>
    </row>
    <row r="12">
      <c r="A12" t="inlineStr">
        <is>
          <t>Payroll</t>
        </is>
      </c>
      <c r="B12" t="inlineStr">
        <is>
          <t>Outflow</t>
        </is>
      </c>
      <c r="C12" s="10" t="n">
        <v>22000</v>
      </c>
      <c r="D12" s="10" t="n">
        <v>22000</v>
      </c>
      <c r="E12" s="10" t="n">
        <v>22000</v>
      </c>
      <c r="F12" s="10" t="n">
        <v>22000</v>
      </c>
      <c r="G12" s="10" t="n">
        <v>22000</v>
      </c>
      <c r="H12" s="10" t="n">
        <v>22000</v>
      </c>
      <c r="I12" s="10" t="n">
        <v>22000</v>
      </c>
      <c r="J12" s="10" t="n">
        <v>22000</v>
      </c>
      <c r="K12" s="10" t="n">
        <v>22000</v>
      </c>
      <c r="L12" s="10" t="n">
        <v>22000</v>
      </c>
      <c r="M12" s="10" t="n">
        <v>22000</v>
      </c>
      <c r="N12" s="10" t="n">
        <v>22000</v>
      </c>
    </row>
    <row r="13">
      <c r="A13" t="inlineStr">
        <is>
          <t>Rent &amp; Utilities</t>
        </is>
      </c>
      <c r="B13" t="inlineStr">
        <is>
          <t>Outflow</t>
        </is>
      </c>
      <c r="C13" s="10" t="n">
        <v>4500</v>
      </c>
      <c r="D13" s="10" t="n">
        <v>4500</v>
      </c>
      <c r="E13" s="10" t="n">
        <v>4500</v>
      </c>
      <c r="F13" s="10" t="n">
        <v>4500</v>
      </c>
      <c r="G13" s="10" t="n">
        <v>4500</v>
      </c>
      <c r="H13" s="10" t="n">
        <v>4500</v>
      </c>
      <c r="I13" s="10" t="n">
        <v>4500</v>
      </c>
      <c r="J13" s="10" t="n">
        <v>4500</v>
      </c>
      <c r="K13" s="10" t="n">
        <v>4500</v>
      </c>
      <c r="L13" s="10" t="n">
        <v>4500</v>
      </c>
      <c r="M13" s="10" t="n">
        <v>4500</v>
      </c>
      <c r="N13" s="10" t="n">
        <v>4500</v>
      </c>
    </row>
    <row r="14">
      <c r="A14" t="inlineStr">
        <is>
          <t>Inventory / COGS</t>
        </is>
      </c>
      <c r="B14" t="inlineStr">
        <is>
          <t>Outflow</t>
        </is>
      </c>
      <c r="C14" s="10" t="n">
        <v>12000</v>
      </c>
      <c r="D14" s="10" t="n">
        <v>12000</v>
      </c>
      <c r="E14" s="10" t="n">
        <v>12000</v>
      </c>
      <c r="F14" s="10" t="n">
        <v>12000</v>
      </c>
      <c r="G14" s="10" t="n">
        <v>12000</v>
      </c>
      <c r="H14" s="10" t="n">
        <v>12000</v>
      </c>
      <c r="I14" s="10" t="n">
        <v>12000</v>
      </c>
      <c r="J14" s="10" t="n">
        <v>12000</v>
      </c>
      <c r="K14" s="10" t="n">
        <v>12000</v>
      </c>
      <c r="L14" s="10" t="n">
        <v>12000</v>
      </c>
      <c r="M14" s="10" t="n">
        <v>12000</v>
      </c>
      <c r="N14" s="10" t="n">
        <v>12000</v>
      </c>
    </row>
    <row r="15">
      <c r="A15" t="inlineStr">
        <is>
          <t>Marketing</t>
        </is>
      </c>
      <c r="B15" t="inlineStr">
        <is>
          <t>Outflow</t>
        </is>
      </c>
      <c r="C15" s="10" t="n">
        <v>3000</v>
      </c>
      <c r="D15" s="10" t="n">
        <v>3000</v>
      </c>
      <c r="E15" s="10" t="n">
        <v>3000</v>
      </c>
      <c r="F15" s="10" t="n">
        <v>3000</v>
      </c>
      <c r="G15" s="10" t="n">
        <v>3000</v>
      </c>
      <c r="H15" s="10" t="n">
        <v>3000</v>
      </c>
      <c r="I15" s="10" t="n">
        <v>3000</v>
      </c>
      <c r="J15" s="10" t="n">
        <v>3000</v>
      </c>
      <c r="K15" s="10" t="n">
        <v>3000</v>
      </c>
      <c r="L15" s="10" t="n">
        <v>3000</v>
      </c>
      <c r="M15" s="10" t="n">
        <v>3000</v>
      </c>
      <c r="N15" s="10" t="n">
        <v>3000</v>
      </c>
    </row>
    <row r="16">
      <c r="A16" t="inlineStr">
        <is>
          <t>Software &amp; Tools</t>
        </is>
      </c>
      <c r="B16" t="inlineStr">
        <is>
          <t>Outflow</t>
        </is>
      </c>
      <c r="C16" s="10" t="n">
        <v>1200</v>
      </c>
      <c r="D16" s="10" t="n">
        <v>1200</v>
      </c>
      <c r="E16" s="10" t="n">
        <v>1200</v>
      </c>
      <c r="F16" s="10" t="n">
        <v>1200</v>
      </c>
      <c r="G16" s="10" t="n">
        <v>1200</v>
      </c>
      <c r="H16" s="10" t="n">
        <v>1200</v>
      </c>
      <c r="I16" s="10" t="n">
        <v>1200</v>
      </c>
      <c r="J16" s="10" t="n">
        <v>1200</v>
      </c>
      <c r="K16" s="10" t="n">
        <v>1200</v>
      </c>
      <c r="L16" s="10" t="n">
        <v>1200</v>
      </c>
      <c r="M16" s="10" t="n">
        <v>1200</v>
      </c>
      <c r="N16" s="10" t="n">
        <v>1200</v>
      </c>
    </row>
    <row r="17">
      <c r="A17" t="inlineStr">
        <is>
          <t>Loan Repayment</t>
        </is>
      </c>
      <c r="B17" t="inlineStr">
        <is>
          <t>Outflow</t>
        </is>
      </c>
      <c r="C17" s="10" t="n">
        <v>2000</v>
      </c>
      <c r="D17" s="10" t="n">
        <v>2000</v>
      </c>
      <c r="E17" s="10" t="n">
        <v>2000</v>
      </c>
      <c r="F17" s="10" t="n">
        <v>2000</v>
      </c>
      <c r="G17" s="10" t="n">
        <v>2000</v>
      </c>
      <c r="H17" s="10" t="n">
        <v>2000</v>
      </c>
      <c r="I17" s="10" t="n">
        <v>2000</v>
      </c>
      <c r="J17" s="10" t="n">
        <v>2000</v>
      </c>
      <c r="K17" s="10" t="n">
        <v>2000</v>
      </c>
      <c r="L17" s="10" t="n">
        <v>2000</v>
      </c>
      <c r="M17" s="10" t="n">
        <v>2000</v>
      </c>
      <c r="N17" s="10" t="n">
        <v>2000</v>
      </c>
    </row>
    <row r="18">
      <c r="A18" t="inlineStr">
        <is>
          <t>Taxes</t>
        </is>
      </c>
      <c r="B18" t="inlineStr">
        <is>
          <t>Outflow</t>
        </is>
      </c>
      <c r="C18" s="10" t="n">
        <v>0</v>
      </c>
      <c r="D18" s="10" t="n">
        <v>0</v>
      </c>
      <c r="E18" s="10" t="n">
        <v>3500</v>
      </c>
      <c r="F18" s="10" t="n">
        <v>0</v>
      </c>
      <c r="G18" s="10" t="n">
        <v>0</v>
      </c>
      <c r="H18" s="10" t="n">
        <v>3500</v>
      </c>
      <c r="I18" s="10" t="n">
        <v>0</v>
      </c>
      <c r="J18" s="10" t="n">
        <v>0</v>
      </c>
      <c r="K18" s="10" t="n">
        <v>3500</v>
      </c>
      <c r="L18" s="10" t="n">
        <v>0</v>
      </c>
      <c r="M18" s="10" t="n">
        <v>0</v>
      </c>
      <c r="N18" s="10" t="n">
        <v>3500</v>
      </c>
    </row>
    <row r="19">
      <c r="A19" t="inlineStr">
        <is>
          <t>Other Expenses</t>
        </is>
      </c>
      <c r="B19" t="inlineStr">
        <is>
          <t>Outflow</t>
        </is>
      </c>
      <c r="C19" s="10" t="n">
        <v>1000</v>
      </c>
      <c r="D19" s="10" t="n">
        <v>1000</v>
      </c>
      <c r="E19" s="10" t="n">
        <v>1000</v>
      </c>
      <c r="F19" s="10" t="n">
        <v>1000</v>
      </c>
      <c r="G19" s="10" t="n">
        <v>1000</v>
      </c>
      <c r="H19" s="10" t="n">
        <v>1000</v>
      </c>
      <c r="I19" s="10" t="n">
        <v>1000</v>
      </c>
      <c r="J19" s="10" t="n">
        <v>1000</v>
      </c>
      <c r="K19" s="10" t="n">
        <v>1000</v>
      </c>
      <c r="L19" s="10" t="n">
        <v>1000</v>
      </c>
      <c r="M19" s="10" t="n">
        <v>1000</v>
      </c>
      <c r="N19" s="10" t="n">
        <v>1000</v>
      </c>
    </row>
    <row r="21">
      <c r="A21" s="15" t="inlineStr">
        <is>
          <t>NET CASH FLOW</t>
        </is>
      </c>
      <c r="C21" s="16">
        <f>SUM(C6:C9)-SUM(C12:C19)</f>
        <v/>
      </c>
      <c r="D21" s="16">
        <f>SUM(D6:D9)-SUM(D12:D19)</f>
        <v/>
      </c>
      <c r="E21" s="16">
        <f>SUM(E6:E9)-SUM(E12:E19)</f>
        <v/>
      </c>
      <c r="F21" s="16">
        <f>SUM(F6:F9)-SUM(F12:F19)</f>
        <v/>
      </c>
      <c r="G21" s="16">
        <f>SUM(G6:G9)-SUM(G12:G19)</f>
        <v/>
      </c>
      <c r="H21" s="16">
        <f>SUM(H6:H9)-SUM(H12:H19)</f>
        <v/>
      </c>
      <c r="I21" s="16">
        <f>SUM(I6:I9)-SUM(I12:I19)</f>
        <v/>
      </c>
      <c r="J21" s="16">
        <f>SUM(J6:J9)-SUM(J12:J19)</f>
        <v/>
      </c>
      <c r="K21" s="16">
        <f>SUM(K6:K9)-SUM(K12:K19)</f>
        <v/>
      </c>
      <c r="L21" s="16">
        <f>SUM(L6:L9)-SUM(L12:L19)</f>
        <v/>
      </c>
      <c r="M21" s="16">
        <f>SUM(M6:M9)-SUM(M12:M19)</f>
        <v/>
      </c>
      <c r="N21" s="16">
        <f>SUM(N6:N9)-SUM(N12:N19)</f>
        <v/>
      </c>
    </row>
    <row r="23">
      <c r="A23" s="17" t="inlineStr">
        <is>
          <t>Enter all outflows as POSITIVE numbers. Replace sample rows with your own - keep the Type column as Inflow or Outflow.</t>
        </is>
      </c>
    </row>
  </sheetData>
  <conditionalFormatting sqref="C21:N21">
    <cfRule type="cellIs" priority="1" operator="lessThan" dxfId="2" stopIfTrue="1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RowHeight="14.5"/>
  <cols>
    <col width="30.6328125" customWidth="1" min="1" max="1"/>
    <col width="12.6328125" customWidth="1" min="2" max="13"/>
  </cols>
  <sheetData>
    <row r="1" ht="21" customHeight="1">
      <c r="A1" s="8" t="inlineStr">
        <is>
          <t>Runway &amp; Ending Cash Projection</t>
        </is>
      </c>
    </row>
    <row r="3">
      <c r="A3" s="12" t="inlineStr">
        <is>
          <t>Metric</t>
        </is>
      </c>
      <c r="B3" s="12" t="inlineStr">
        <is>
          <t>Month 1</t>
        </is>
      </c>
      <c r="C3" s="12" t="inlineStr">
        <is>
          <t>Month 2</t>
        </is>
      </c>
      <c r="D3" s="12" t="inlineStr">
        <is>
          <t>Month 3</t>
        </is>
      </c>
      <c r="E3" s="12" t="inlineStr">
        <is>
          <t>Month 4</t>
        </is>
      </c>
      <c r="F3" s="12" t="inlineStr">
        <is>
          <t>Month 5</t>
        </is>
      </c>
      <c r="G3" s="12" t="inlineStr">
        <is>
          <t>Month 6</t>
        </is>
      </c>
      <c r="H3" s="12" t="inlineStr">
        <is>
          <t>Month 7</t>
        </is>
      </c>
      <c r="I3" s="12" t="inlineStr">
        <is>
          <t>Month 8</t>
        </is>
      </c>
      <c r="J3" s="12" t="inlineStr">
        <is>
          <t>Month 9</t>
        </is>
      </c>
      <c r="K3" s="12" t="inlineStr">
        <is>
          <t>Month 10</t>
        </is>
      </c>
      <c r="L3" s="12" t="inlineStr">
        <is>
          <t>Month 11</t>
        </is>
      </c>
      <c r="M3" s="12" t="inlineStr">
        <is>
          <t>Month 12</t>
        </is>
      </c>
    </row>
    <row r="4">
      <c r="A4" t="inlineStr">
        <is>
          <t>Net Cash Flow</t>
        </is>
      </c>
      <c r="B4" s="10">
        <f>Inputs_CashFlow!C21</f>
        <v/>
      </c>
      <c r="C4" s="10">
        <f>Inputs_CashFlow!D21</f>
        <v/>
      </c>
      <c r="D4" s="10">
        <f>Inputs_CashFlow!E21</f>
        <v/>
      </c>
      <c r="E4" s="10">
        <f>Inputs_CashFlow!F21</f>
        <v/>
      </c>
      <c r="F4" s="10">
        <f>Inputs_CashFlow!G21</f>
        <v/>
      </c>
      <c r="G4" s="10">
        <f>Inputs_CashFlow!H21</f>
        <v/>
      </c>
      <c r="H4" s="10">
        <f>Inputs_CashFlow!I21</f>
        <v/>
      </c>
      <c r="I4" s="10">
        <f>Inputs_CashFlow!J21</f>
        <v/>
      </c>
      <c r="J4" s="10">
        <f>Inputs_CashFlow!K21</f>
        <v/>
      </c>
      <c r="K4" s="10">
        <f>Inputs_CashFlow!L21</f>
        <v/>
      </c>
      <c r="L4" s="10">
        <f>Inputs_CashFlow!M21</f>
        <v/>
      </c>
      <c r="M4" s="10">
        <f>Inputs_CashFlow!N21</f>
        <v/>
      </c>
    </row>
    <row r="5">
      <c r="A5" t="inlineStr">
        <is>
          <t>Ending Cash</t>
        </is>
      </c>
      <c r="B5" s="10">
        <f>Inputs_CashFlow!B2+B4</f>
        <v/>
      </c>
      <c r="C5" s="10">
        <f>B5+C4</f>
        <v/>
      </c>
      <c r="D5" s="10">
        <f>C5+D4</f>
        <v/>
      </c>
      <c r="E5" s="10">
        <f>D5+E4</f>
        <v/>
      </c>
      <c r="F5" s="10">
        <f>E5+F4</f>
        <v/>
      </c>
      <c r="G5" s="10">
        <f>F5+G4</f>
        <v/>
      </c>
      <c r="H5" s="10">
        <f>G5+H4</f>
        <v/>
      </c>
      <c r="I5" s="10">
        <f>H5+I4</f>
        <v/>
      </c>
      <c r="J5" s="10">
        <f>I5+J4</f>
        <v/>
      </c>
      <c r="K5" s="10">
        <f>J5+K4</f>
        <v/>
      </c>
      <c r="L5" s="10">
        <f>K5+L4</f>
        <v/>
      </c>
      <c r="M5" s="10">
        <f>L5+M4</f>
        <v/>
      </c>
    </row>
    <row r="6">
      <c r="A6" t="inlineStr">
        <is>
          <t>Cash-Out This Month</t>
        </is>
      </c>
      <c r="B6" s="10">
        <f>SUM(Inputs_CashFlow!C12:C19)</f>
        <v/>
      </c>
      <c r="C6" s="10">
        <f>SUM(Inputs_CashFlow!D12:D19)</f>
        <v/>
      </c>
      <c r="D6" s="10">
        <f>SUM(Inputs_CashFlow!E12:E19)</f>
        <v/>
      </c>
      <c r="E6" s="10">
        <f>SUM(Inputs_CashFlow!F12:F19)</f>
        <v/>
      </c>
      <c r="F6" s="10">
        <f>SUM(Inputs_CashFlow!G12:G19)</f>
        <v/>
      </c>
      <c r="G6" s="10">
        <f>SUM(Inputs_CashFlow!H12:H19)</f>
        <v/>
      </c>
      <c r="H6" s="10">
        <f>SUM(Inputs_CashFlow!I12:I19)</f>
        <v/>
      </c>
      <c r="I6" s="10">
        <f>SUM(Inputs_CashFlow!J12:J19)</f>
        <v/>
      </c>
      <c r="J6" s="10">
        <f>SUM(Inputs_CashFlow!K12:K19)</f>
        <v/>
      </c>
      <c r="K6" s="10">
        <f>SUM(Inputs_CashFlow!L12:L19)</f>
        <v/>
      </c>
      <c r="L6" s="10">
        <f>SUM(Inputs_CashFlow!M12:M19)</f>
        <v/>
      </c>
      <c r="M6" s="10">
        <f>SUM(Inputs_CashFlow!N12:N19)</f>
        <v/>
      </c>
    </row>
    <row r="8">
      <c r="A8" s="19" t="inlineStr">
        <is>
          <t>Average Monthly Net Burn:</t>
        </is>
      </c>
      <c r="B8" s="10">
        <f>-AVERAGE(B4:M4)</f>
        <v/>
      </c>
      <c r="C8" s="17" t="inlineStr">
        <is>
          <t>(positive = burning cash)</t>
        </is>
      </c>
    </row>
    <row r="9" ht="15.5" customHeight="1">
      <c r="A9" s="20" t="inlineStr">
        <is>
          <t>Months of Cash Left (from today):</t>
        </is>
      </c>
      <c r="B9" s="21">
        <f>IF(B8&lt;=0,"Cash-flow positive — no runway limit",Inputs_CashFlow!B2/B8)</f>
        <v/>
      </c>
    </row>
    <row r="11">
      <c r="A11" s="18" t="inlineStr">
        <is>
          <t>First month projected to go negative:</t>
        </is>
      </c>
      <c r="B11">
        <f>IFERROR(INDEX($B$3:$M$3,MATCH(1,$B$13:$M$13,0)),"None in 12-month window")</f>
        <v/>
      </c>
    </row>
    <row r="13" hidden="1">
      <c r="B13">
        <f>IF(B5&lt;0,1,0)</f>
        <v/>
      </c>
      <c r="C13">
        <f>IF(C5&lt;0,1,0)</f>
        <v/>
      </c>
      <c r="D13">
        <f>IF(D5&lt;0,1,0)</f>
        <v/>
      </c>
      <c r="E13">
        <f>IF(E5&lt;0,1,0)</f>
        <v/>
      </c>
      <c r="F13">
        <f>IF(F5&lt;0,1,0)</f>
        <v/>
      </c>
      <c r="G13">
        <f>IF(G5&lt;0,1,0)</f>
        <v/>
      </c>
      <c r="H13">
        <f>IF(H5&lt;0,1,0)</f>
        <v/>
      </c>
      <c r="I13">
        <f>IF(I5&lt;0,1,0)</f>
        <v/>
      </c>
      <c r="J13">
        <f>IF(J5&lt;0,1,0)</f>
        <v/>
      </c>
      <c r="K13">
        <f>IF(K5&lt;0,1,0)</f>
        <v/>
      </c>
      <c r="L13">
        <f>IF(L5&lt;0,1,0)</f>
        <v/>
      </c>
      <c r="M13">
        <f>IF(M5&lt;0,1,0)</f>
        <v/>
      </c>
    </row>
  </sheetData>
  <conditionalFormatting sqref="B5:M5">
    <cfRule type="cellIs" priority="1" operator="lessThan" dxfId="1" stopIfTrue="1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tabSelected="1" workbookViewId="0">
      <selection activeCell="A1" sqref="A1"/>
    </sheetView>
  </sheetViews>
  <sheetFormatPr baseColWidth="8" defaultRowHeight="14.5"/>
  <cols>
    <col width="38.6328125" customWidth="1" min="1" max="1"/>
    <col width="16.6328125" customWidth="1" min="2" max="4"/>
    <col width="14.6328125" customWidth="1" min="7" max="7"/>
  </cols>
  <sheetData>
    <row r="1" ht="21" customHeight="1">
      <c r="A1" s="8" t="inlineStr">
        <is>
          <t>Scenario Stress Test</t>
        </is>
      </c>
      <c r="G1" s="22" t="inlineStr">
        <is>
          <t>helpers</t>
        </is>
      </c>
    </row>
    <row r="2">
      <c r="G2" s="10">
        <f>SUM(Inputs_CashFlow!C6:N9)</f>
        <v/>
      </c>
    </row>
    <row r="3" ht="15.5" customHeight="1">
      <c r="A3" s="23" t="inlineStr">
        <is>
          <t>Assumptions</t>
        </is>
      </c>
      <c r="G3" s="10">
        <f>SUM(Inputs_CashFlow!C12:N19)</f>
        <v/>
      </c>
    </row>
    <row r="4">
      <c r="A4" s="12" t="inlineStr">
        <is>
          <t>Scenario</t>
        </is>
      </c>
      <c r="B4" s="12" t="inlineStr">
        <is>
          <t>Inflow x</t>
        </is>
      </c>
      <c r="C4" s="12" t="inlineStr">
        <is>
          <t>Outflow x</t>
        </is>
      </c>
      <c r="D4" s="12" t="inlineStr">
        <is>
          <t>Months of Cash Left</t>
        </is>
      </c>
    </row>
    <row r="5">
      <c r="A5" t="inlineStr">
        <is>
          <t>Base</t>
        </is>
      </c>
      <c r="B5" s="24" t="n">
        <v>1</v>
      </c>
      <c r="C5" s="24" t="n">
        <v>1</v>
      </c>
      <c r="D5" s="25">
        <f>IF((($G$3*C5)-($G$2*B5))/12&lt;=0,"Positive",Inputs_CashFlow!$B$2/((($G$3*C5)-($G$2*B5))/12))</f>
        <v/>
      </c>
    </row>
    <row r="6">
      <c r="A6" t="inlineStr">
        <is>
          <t>Lean (revenue -20%, costs -10%)</t>
        </is>
      </c>
      <c r="B6" s="24" t="n">
        <v>0.8</v>
      </c>
      <c r="C6" s="24" t="n">
        <v>0.9</v>
      </c>
      <c r="D6" s="25">
        <f>IF((($G$3*C6)-($G$2*B6))/12&lt;=0,"Positive",Inputs_CashFlow!$B$2/((($G$3*C6)-($G$2*B6))/12))</f>
        <v/>
      </c>
    </row>
    <row r="7">
      <c r="A7" t="inlineStr">
        <is>
          <t>Growth (revenue +25%, costs +15%)</t>
        </is>
      </c>
      <c r="B7" s="24" t="n">
        <v>1.25</v>
      </c>
      <c r="C7" s="24" t="n">
        <v>1.15</v>
      </c>
      <c r="D7" s="25">
        <f>IF((($G$3*C7)-($G$2*B7))/12&lt;=0,"Positive",Inputs_CashFlow!$B$2/((($G$3*C7)-($G$2*B7))/12))</f>
        <v/>
      </c>
    </row>
    <row r="9">
      <c r="A9" s="17" t="inlineStr">
        <is>
          <t>This is a simplified annualized stress test. For weekly precision and bank-import-driven actuals, see the 13-Week Forecast (Upgrade sheet).</t>
        </is>
      </c>
    </row>
  </sheetData>
  <conditionalFormatting sqref="D5:D7">
    <cfRule type="expression" priority="1" dxfId="0" stopIfTrue="1">
      <formula>AND(ISNUMBER(D5),D5&lt;6)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4.5"/>
  <cols>
    <col width="110.6328125" customWidth="1" min="1" max="1"/>
  </cols>
  <sheetData>
    <row r="1" ht="23.5" customHeight="1">
      <c r="A1" s="2" t="inlineStr">
        <is>
          <t>Ready for the next level?</t>
        </is>
      </c>
    </row>
    <row r="3" ht="75" customHeight="1">
      <c r="A3" s="5" t="inlineStr">
        <is>
          <t>This free tracker gives you a monthly view. When you need weekly precision, one-click import of your bank / AR / AP exports, covenant tracking, and forecast-vs-actual variance, upgrade to the 13-Week Direct Cash Flow Forecast.</t>
        </is>
      </c>
    </row>
    <row r="5">
      <c r="A5" s="6" t="inlineStr">
        <is>
          <t>Get the 13-Week Forecast: https://keystonemarcy.netlify.app/templates.html</t>
        </is>
      </c>
    </row>
    <row r="7">
      <c r="A7" s="7" t="inlineStr">
        <is>
          <t>Need hands-on help? KM Consulting offers fractional FP&amp;A. Contact keystone.marcy@outlook.com.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Keystone Marcy</dc:creator>
  <dcterms:created xmlns:dcterms="http://purl.org/dc/terms/" xmlns:xsi="http://www.w3.org/2001/XMLSchema-instance" xsi:type="dcterms:W3CDTF">2026-05-29T22:43:34Z</dcterms:created>
  <dcterms:modified xmlns:dcterms="http://purl.org/dc/terms/" xmlns:xsi="http://www.w3.org/2001/XMLSchema-instance" xsi:type="dcterms:W3CDTF">2026-05-29T23:25:59Z</dcterms:modified>
  <cp:lastModifiedBy>Keystone Marcy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{AA522534-0E1F-4071-9D9E-804BC259F8A5}</vt:lpwstr>
  </property>
</Properties>
</file>